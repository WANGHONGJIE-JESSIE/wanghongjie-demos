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ORK\WANGHONGJIE-GitHub\"/>
    </mc:Choice>
  </mc:AlternateContent>
  <xr:revisionPtr revIDLastSave="0" documentId="13_ncr:1_{2264890D-A03E-4678-80CE-B611EEC47967}" xr6:coauthVersionLast="47" xr6:coauthVersionMax="47" xr10:uidLastSave="{00000000-0000-0000-0000-000000000000}"/>
  <bookViews>
    <workbookView xWindow="-98" yWindow="-98" windowWidth="21795" windowHeight="12975" tabRatio="764" xr2:uid="{00000000-000D-0000-FFFF-FFFF00000000}"/>
  </bookViews>
  <sheets>
    <sheet name="使用说明" sheetId="1" r:id="rId1"/>
    <sheet name="0-指标口径定义表" sheetId="2" r:id="rId2"/>
    <sheet name="①现金表" sheetId="3" r:id="rId3"/>
    <sheet name="②收入结构表" sheetId="4" r:id="rId4"/>
    <sheet name="③项目盈亏表" sheetId="5" r:id="rId5"/>
    <sheet name="④漏斗与预测表" sheetId="6" r:id="rId6"/>
    <sheet name="⑤人效与回款表" sheetId="7" r:id="rId7"/>
    <sheet name="⑥30天行动卡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5" l="1"/>
  <c r="E18" i="5"/>
  <c r="D18" i="5"/>
  <c r="C18" i="5"/>
  <c r="I13" i="7"/>
  <c r="J13" i="7" s="1"/>
  <c r="H13" i="7"/>
  <c r="E13" i="7"/>
  <c r="F13" i="7" s="1"/>
  <c r="D13" i="7"/>
  <c r="G13" i="7" s="1"/>
  <c r="C13" i="7"/>
  <c r="J12" i="7"/>
  <c r="G12" i="7"/>
  <c r="F12" i="7"/>
  <c r="J11" i="7"/>
  <c r="G11" i="7"/>
  <c r="F11" i="7"/>
  <c r="J10" i="7"/>
  <c r="G10" i="7"/>
  <c r="F10" i="7"/>
  <c r="J9" i="7"/>
  <c r="G9" i="7"/>
  <c r="F9" i="7"/>
  <c r="J8" i="7"/>
  <c r="G8" i="7"/>
  <c r="F8" i="7"/>
  <c r="I4" i="7"/>
  <c r="J4" i="7" s="1"/>
  <c r="C4" i="7"/>
  <c r="G22" i="6"/>
  <c r="G21" i="6"/>
  <c r="G20" i="6"/>
  <c r="G19" i="6"/>
  <c r="G18" i="6"/>
  <c r="G17" i="6"/>
  <c r="G16" i="6"/>
  <c r="G15" i="6"/>
  <c r="G14" i="6"/>
  <c r="G13" i="6"/>
  <c r="G12" i="6"/>
  <c r="E4" i="6" s="1"/>
  <c r="G4" i="6" s="1"/>
  <c r="G11" i="6"/>
  <c r="G10" i="6"/>
  <c r="G9" i="6"/>
  <c r="G8" i="6"/>
  <c r="J4" i="6"/>
  <c r="C4" i="6"/>
  <c r="G17" i="5"/>
  <c r="I17" i="5" s="1"/>
  <c r="F17" i="5"/>
  <c r="F16" i="5"/>
  <c r="G16" i="5" s="1"/>
  <c r="F15" i="5"/>
  <c r="G15" i="5" s="1"/>
  <c r="F14" i="5"/>
  <c r="G14" i="5" s="1"/>
  <c r="G13" i="5"/>
  <c r="I13" i="5" s="1"/>
  <c r="F13" i="5"/>
  <c r="F12" i="5"/>
  <c r="G12" i="5" s="1"/>
  <c r="F11" i="5"/>
  <c r="G4" i="5" s="1"/>
  <c r="F10" i="5"/>
  <c r="G10" i="5" s="1"/>
  <c r="G9" i="5"/>
  <c r="I9" i="5" s="1"/>
  <c r="F9" i="5"/>
  <c r="F8" i="5"/>
  <c r="F18" i="5" s="1"/>
  <c r="D27" i="4"/>
  <c r="D26" i="4"/>
  <c r="D25" i="4"/>
  <c r="D24" i="4"/>
  <c r="D23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I10" i="4"/>
  <c r="E10" i="4"/>
  <c r="D10" i="4"/>
  <c r="I9" i="4"/>
  <c r="E9" i="4"/>
  <c r="D9" i="4"/>
  <c r="I8" i="4"/>
  <c r="E8" i="4"/>
  <c r="D8" i="4"/>
  <c r="J4" i="4"/>
  <c r="H4" i="4"/>
  <c r="E4" i="4"/>
  <c r="C4" i="4"/>
  <c r="C28" i="3"/>
  <c r="F27" i="3"/>
  <c r="D27" i="3"/>
  <c r="F26" i="3"/>
  <c r="D26" i="3"/>
  <c r="F25" i="3"/>
  <c r="D25" i="3"/>
  <c r="F24" i="3"/>
  <c r="D24" i="3"/>
  <c r="F23" i="3"/>
  <c r="F28" i="3" s="1"/>
  <c r="D23" i="3"/>
  <c r="E19" i="3"/>
  <c r="E18" i="3"/>
  <c r="E17" i="3"/>
  <c r="E16" i="3"/>
  <c r="E15" i="3"/>
  <c r="E14" i="3"/>
  <c r="E13" i="3"/>
  <c r="E12" i="3"/>
  <c r="E11" i="3"/>
  <c r="E10" i="3"/>
  <c r="E9" i="3"/>
  <c r="E8" i="3"/>
  <c r="F8" i="3" s="1"/>
  <c r="I15" i="5" l="1"/>
  <c r="H15" i="5"/>
  <c r="I14" i="5"/>
  <c r="H14" i="5"/>
  <c r="I16" i="5"/>
  <c r="H16" i="5"/>
  <c r="F10" i="3"/>
  <c r="F11" i="3" s="1"/>
  <c r="F12" i="3" s="1"/>
  <c r="F13" i="3" s="1"/>
  <c r="F14" i="3" s="1"/>
  <c r="F15" i="3" s="1"/>
  <c r="F16" i="3" s="1"/>
  <c r="F17" i="3" s="1"/>
  <c r="F18" i="3" s="1"/>
  <c r="F19" i="3" s="1"/>
  <c r="I10" i="5"/>
  <c r="H10" i="5"/>
  <c r="I12" i="5"/>
  <c r="H12" i="5"/>
  <c r="F9" i="3"/>
  <c r="G11" i="5"/>
  <c r="G8" i="5"/>
  <c r="E4" i="7"/>
  <c r="E4" i="3"/>
  <c r="G4" i="7"/>
  <c r="G4" i="3"/>
  <c r="I4" i="3" s="1"/>
  <c r="H9" i="5"/>
  <c r="H13" i="5"/>
  <c r="H17" i="5"/>
  <c r="I8" i="5" l="1"/>
  <c r="H8" i="5"/>
  <c r="E4" i="5"/>
  <c r="I4" i="5" s="1"/>
  <c r="H11" i="5"/>
  <c r="I11" i="5"/>
</calcChain>
</file>

<file path=xl/sharedStrings.xml><?xml version="1.0" encoding="utf-8"?>
<sst xmlns="http://schemas.openxmlformats.org/spreadsheetml/2006/main" count="287" uniqueCount="238">
  <si>
    <t>《经营五表》指标口径模板 · 配套 Excel</t>
  </si>
  <si>
    <t>示例数据均为脱敏虚构（客户 A/B/C、华东/华南、PRJ-001…），请替换为贵司真实数据</t>
  </si>
  <si>
    <t>本文件包含</t>
  </si>
  <si>
    <t>用途与关键动作</t>
  </si>
  <si>
    <t>表①现金表</t>
  </si>
  <si>
    <t>回答：还能撑几个月。看"可支撑月数"与"应收账款账龄"，不是看账上有多少钱，是看能回来的钱。</t>
  </si>
  <si>
    <t>表②收入结构表</t>
  </si>
  <si>
    <t>回答：钱从哪来。按客户 / 产品 / 区域三个维度拆，盯住"前 20% 客户贡献占比"和"单一客户占比"。</t>
  </si>
  <si>
    <t>表③项目盈亏表</t>
  </si>
  <si>
    <t>回答：哪个生意真的赚钱。算清毛利率底线，低于底线的单子做得越大亏得越多。</t>
  </si>
  <si>
    <t>表④漏斗与预测表</t>
  </si>
  <si>
    <t>回答：下季度能收多少。给每个商机打中标概率分，用概率加权，不要拍脑袋。</t>
  </si>
  <si>
    <t>表⑤人效与回款表</t>
  </si>
  <si>
    <t>回答：钱收得回来吗、人用得值吗。人均营收 + 回款周期（DSO）+ 逾期占比。</t>
  </si>
  <si>
    <t>指标口径定义表</t>
  </si>
  <si>
    <t>空白版，课堂上现场填。这是最重要的一张——口径不统一，后面四张全是错的。</t>
  </si>
  <si>
    <t>30 天行动卡</t>
  </si>
  <si>
    <t>每人带走一张。第 1 周定口径，第 2 周做两表，第 3 周加预测，第 4 周落一个 AI 场景。</t>
  </si>
  <si>
    <t>🔴 使用顺序（不要跳步）</t>
  </si>
  <si>
    <t>1. 先填「指标口径定义表」——把"销售额"到底按签约算还是按回款算，写死，全公司发一次。</t>
  </si>
  <si>
    <t>2. 再做「表①现金表」——只需要两个数：账上现金、月均净流出。10 分钟能做完。</t>
  </si>
  <si>
    <t>3. 做「表②收入结构表」——把客户按收入从大到小排，算出前 20% 贡献多少。</t>
  </si>
  <si>
    <t>4. 做出来你会发现，第 3、4、5 张表自己就长出来了。</t>
  </si>
  <si>
    <t>5. 全部做完再上 AI。口径没统一之前上 AI，只会让你更快地得到三个不一样的答案。</t>
  </si>
  <si>
    <t>版权与联系方式：王宏杰 ｜ 19 年 LED 光电与能源电力行业 · 9 年经营分析 · 利兹大学 MBA</t>
  </si>
  <si>
    <t>指标口径定义表（课堂现场填写 · 全公司统一以此为准）</t>
  </si>
  <si>
    <t>口诀：一个指标 = 一个定义 + 一个公式 + 一个数据源 + 一个责任人。四样缺一，这个指标迟早会打架。</t>
  </si>
  <si>
    <t>指标名称</t>
  </si>
  <si>
    <t>业务定义（人话）</t>
  </si>
  <si>
    <t>计算口径（公式）</t>
  </si>
  <si>
    <t>数据源系统</t>
  </si>
  <si>
    <t>归口部门</t>
  </si>
  <si>
    <t>当前是否统一</t>
  </si>
  <si>
    <t>待解决的问题 / 分歧点</t>
  </si>
  <si>
    <t>销售额</t>
  </si>
  <si>
    <t>回款额</t>
  </si>
  <si>
    <t>毛利率</t>
  </si>
  <si>
    <t>新增商机数</t>
  </si>
  <si>
    <t>商机金额</t>
  </si>
  <si>
    <t>中标率</t>
  </si>
  <si>
    <t>活跃客户数</t>
  </si>
  <si>
    <t>应收账款</t>
  </si>
  <si>
    <t>回款周期 DSO</t>
  </si>
  <si>
    <t>人均营收</t>
  </si>
  <si>
    <t>⚠️ 这张表填完必须打印签字、全公司发一次。没有这一步，后面的表做出来也是三个版本。</t>
  </si>
  <si>
    <t>表① 现金表 —— 还能撑几个月</t>
  </si>
  <si>
    <t>利润表是观点，现金流量表是事实。看现金不是看"账上有多少钱"，是看"能回来的钱"。</t>
  </si>
  <si>
    <t>期初现金余额（元）</t>
  </si>
  <si>
    <t>当前现金余额</t>
  </si>
  <si>
    <t>近 3 月平均净流出</t>
  </si>
  <si>
    <t>可支撑月数</t>
  </si>
  <si>
    <t>月份</t>
  </si>
  <si>
    <t>经营流入</t>
  </si>
  <si>
    <t>经营流出</t>
  </si>
  <si>
    <t>净现金流</t>
  </si>
  <si>
    <t>累计现金</t>
  </si>
  <si>
    <t>备注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</si>
  <si>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</si>
  <si>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</si>
  <si>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</si>
  <si>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</si>
  <si>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</si>
  <si>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</si>
  <si>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</si>
  <si>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</si>
  <si>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</si>
  <si>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</si>
  <si>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</si>
  <si>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</si>
  <si>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应收账款账龄分析（脱敏示例）</t>
  </si>
  <si>
    <t>账龄区间</t>
  </si>
  <si>
    <t>金额（元）</t>
  </si>
  <si>
    <t>占比</t>
  </si>
  <si>
    <t>预计回收率</t>
  </si>
  <si>
    <t>可回收金额</t>
  </si>
  <si>
    <t>风险提示</t>
  </si>
  <si>
    <t>0-30 天</t>
  </si>
  <si>
    <t>正常</t>
  </si>
  <si>
    <t>31-60 天</t>
  </si>
  <si>
    <t>61-90 天</t>
  </si>
  <si>
    <t>需跟进</t>
  </si>
  <si>
    <t>90-180 天</t>
  </si>
  <si>
    <t>重点催收</t>
  </si>
  <si>
    <t>180 天以上</t>
  </si>
  <si>
    <t>⚠️ 高风险，建议计提</t>
  </si>
  <si>
    <t>合计</t>
  </si>
  <si>
    <t>💡 课堂话术：很多老板看到"账上有 300 万"就安心了。但把账龄一拉，180 天以上的 29 万大概率收不回来、90-180 天的 42 万要打对折——真实能用的钱要往下修 50 万以上。</t>
  </si>
  <si>
    <t>表② 收入结构表 —— 钱从哪来</t>
  </si>
  <si>
    <t>最危险的结构，是一个客户占你 40% 以上。盯住"前 20% 客户贡献占比"。</t>
  </si>
  <si>
    <t>总营收（YTD）</t>
  </si>
  <si>
    <t>前 20% 客户贡献</t>
  </si>
  <si>
    <t>第一大客户占比</t>
  </si>
  <si>
    <t>集中度判定</t>
  </si>
  <si>
    <t>客户（脱敏）</t>
  </si>
  <si>
    <t>年度收入（元）</t>
  </si>
  <si>
    <t>收入占比</t>
  </si>
  <si>
    <t>累计占比</t>
  </si>
  <si>
    <t>产品线</t>
  </si>
  <si>
    <t>收入（元）</t>
  </si>
  <si>
    <t>客户 A</t>
  </si>
  <si>
    <t>显示系统 P1</t>
  </si>
  <si>
    <t>客户 B</t>
  </si>
  <si>
    <t>照明工程 P2</t>
  </si>
  <si>
    <t>客户 C</t>
  </si>
  <si>
    <t>能源服务 P3</t>
  </si>
  <si>
    <t>客户 D</t>
  </si>
  <si>
    <t>客户 E</t>
  </si>
  <si>
    <t>客户 F</t>
  </si>
  <si>
    <t>客户 G</t>
  </si>
  <si>
    <t>客户 H</t>
  </si>
  <si>
    <t>客户 I</t>
  </si>
  <si>
    <t>客户 J</t>
  </si>
  <si>
    <t>客户 K</t>
  </si>
  <si>
    <t>客户 L</t>
  </si>
  <si>
    <t>区域维度（脱敏示例）</t>
  </si>
  <si>
    <t>区域</t>
  </si>
  <si>
    <t>同比</t>
  </si>
  <si>
    <t>华东</t>
  </si>
  <si>
    <t>华南</t>
  </si>
  <si>
    <t>华北</t>
  </si>
  <si>
    <t>西南</t>
  </si>
  <si>
    <t>西北</t>
  </si>
  <si>
    <t>💡 课堂话术：前 20% 客户（约 2-3 家）贡献 55% 收入。这意味着其中任何一家流失，你当年营收立刻掉一半。这一页通常能让老板当场拿出手机打电话。</t>
  </si>
  <si>
    <t>表③ 项目 / 产品盈亏表 —— 哪个生意真的赚钱</t>
  </si>
  <si>
    <t>营收涨了利润没涨，问题一定出在这一张表。低于毛利率底线的单子，做得越大亏得越多。</t>
  </si>
  <si>
    <t>毛利率底线</t>
  </si>
  <si>
    <t>低于底线的项目数</t>
  </si>
  <si>
    <t>加权毛利率</t>
  </si>
  <si>
    <t>项目编号</t>
  </si>
  <si>
    <t>合同额（元）</t>
  </si>
  <si>
    <t>直接成本</t>
  </si>
  <si>
    <t>分摊费用</t>
  </si>
  <si>
    <t>毛利（元）</t>
  </si>
  <si>
    <t>判定</t>
  </si>
  <si>
    <t>处理建议</t>
  </si>
  <si>
    <t>PRJ-001</t>
  </si>
  <si>
    <t>PRJ-002</t>
  </si>
  <si>
    <t>PRJ-003</t>
  </si>
  <si>
    <t>PRJ-004</t>
  </si>
  <si>
    <t>PRJ-005</t>
  </si>
  <si>
    <t>PRJ-006</t>
  </si>
  <si>
    <t>PRJ-007</t>
  </si>
  <si>
    <t>PRJ-008</t>
  </si>
  <si>
    <t>PRJ-009</t>
  </si>
  <si>
    <t>PRJ-010</t>
  </si>
  <si>
    <t>💡 课堂话术：PRJ-010 合同额 28 万，毛利率只有 7.1%——这种单子不是生意，是给客户打工还贴了管理成本。真正该问的不是"能不能拿下"，是"拿下了值不值"。</t>
  </si>
  <si>
    <t>表④ 漏斗与预测表 —— 下季度能收多少</t>
  </si>
  <si>
    <t>没有预测的复盘都是马后炮。给每个商机打中标概率分，用概率加权，不要拍脑袋。</t>
  </si>
  <si>
    <t>商机总金额</t>
  </si>
  <si>
    <t>概率加权预测</t>
  </si>
  <si>
    <t>加权/总额</t>
  </si>
  <si>
    <t>本季度预计签约（Q4）</t>
  </si>
  <si>
    <t>商机编号</t>
  </si>
  <si>
    <t>当前阶段</t>
  </si>
  <si>
    <t>中标概率</t>
  </si>
  <si>
    <t>加权金额</t>
  </si>
  <si>
    <t>停留天数</t>
  </si>
  <si>
    <t>预计签约</t>
  </si>
  <si>
    <t>OPP-001</t>
  </si>
  <si>
    <t>商务谈判</t>
  </si>
  <si>
    <t>2026-Q4</t>
  </si>
  <si>
    <t>OPP-002</t>
  </si>
  <si>
    <t>报价</t>
  </si>
  <si>
    <t>OPP-003</t>
  </si>
  <si>
    <t>OPP-004</t>
  </si>
  <si>
    <t>方案确认</t>
  </si>
  <si>
    <t>OPP-005</t>
  </si>
  <si>
    <t>OPP-006</t>
  </si>
  <si>
    <t>初步接触</t>
  </si>
  <si>
    <t>2027-Q1</t>
  </si>
  <si>
    <t>OPP-007</t>
  </si>
  <si>
    <t>OPP-008</t>
  </si>
  <si>
    <t>OPP-009</t>
  </si>
  <si>
    <t>中标待签</t>
  </si>
  <si>
    <t>OPP-010</t>
  </si>
  <si>
    <t>OPP-011</t>
  </si>
  <si>
    <t>OPP-012</t>
  </si>
  <si>
    <t>OPP-013</t>
  </si>
  <si>
    <t>客户 M</t>
  </si>
  <si>
    <t>OPP-014</t>
  </si>
  <si>
    <t>客户 N</t>
  </si>
  <si>
    <t>OPP-015</t>
  </si>
  <si>
    <t>客户 O</t>
  </si>
  <si>
    <t>💡 高风险清单：停留超过 40 天的商机自动标红（OPP-003 已停 55 天、OPP-008 已停 47 天）。以前是月底复盘才知道输了，现在周中就预警，还来得及救。</t>
  </si>
  <si>
    <t>表⑤ 人效与回款表 —— 钱收得回来吗、人用得值吗</t>
  </si>
  <si>
    <t>回款周期每缩短 15 天，等于白赚一笔无息贷款。人越招越多、人均产出却在降，是最容易被忽略的失血点。</t>
  </si>
  <si>
    <t>团队总人数</t>
  </si>
  <si>
    <t>人均营收（元）</t>
  </si>
  <si>
    <t>整体回款率</t>
  </si>
  <si>
    <t>平均 DSO（天）</t>
  </si>
  <si>
    <t>区域/团队</t>
  </si>
  <si>
    <t>人数</t>
  </si>
  <si>
    <t>营收（元）</t>
  </si>
  <si>
    <t>回款额（元）</t>
  </si>
  <si>
    <t>回款率</t>
  </si>
  <si>
    <t>DSO（天）</t>
  </si>
  <si>
    <t>逾期金额</t>
  </si>
  <si>
    <t>逾期占比</t>
  </si>
  <si>
    <t>华东区</t>
  </si>
  <si>
    <t>华南区</t>
  </si>
  <si>
    <t>华北区</t>
  </si>
  <si>
    <t>西南区</t>
  </si>
  <si>
    <t>西北区</t>
  </si>
  <si>
    <t>💡 课堂话术：西北区 3 个人，DSO 95 天，逾期 22.4 万占营收 26%——这个区域不是不努力，是客户结构有问题。华南区 DSO 72 天也要盯。把 DSO 从 95 天压到 60 天，等于凭空多出 35 天营运资金。</t>
  </si>
  <si>
    <t>《30 天落地行动卡》</t>
  </si>
  <si>
    <t>今天回去不用做五张表，先做第一张现金表。做出来你就会发现，第二张第三张自己就长出来了。</t>
  </si>
  <si>
    <t>周次</t>
  </si>
  <si>
    <t>本周要做的三件事</t>
  </si>
  <si>
    <t>交付物（能拿出来看的）</t>
  </si>
  <si>
    <t>自检（打勾）</t>
  </si>
  <si>
    <t>负责人</t>
  </si>
  <si>
    <t>第 1 周</t>
  </si>
  <si>
    <t>把 5 个核心指标的口径写死（销售额/回款/毛利/商机/活跃客户）</t>
  </si>
  <si>
    <t>《指标口径定义表》1 页，已签字已群发</t>
  </si>
  <si>
    <t>☐ 已完成</t>
  </si>
  <si>
    <t>全公司发一次，让财务、销售、运营三方签字确认</t>
  </si>
  <si>
    <t>指定"唯一数字权威"——谁的数说了算</t>
  </si>
  <si>
    <t>第 2 周</t>
  </si>
  <si>
    <t>拉出现金余额 + 近 3 月平均净流出 → 算出可支撑月数</t>
  </si>
  <si>
    <t>表①现金表 + 表②收入结构表（各 1 页）</t>
  </si>
  <si>
    <t>把应收账款按账龄分段，算出真实可收回金额</t>
  </si>
  <si>
    <t>把客户按收入从大到小排，算出前 20% 贡献占比</t>
  </si>
  <si>
    <t>第 3 周</t>
  </si>
  <si>
    <t>给每个在途商机打中标概率分（初步接触 15% / 方案 35% / 报价 50% / 谈判 80% / 待签 95%）</t>
  </si>
  <si>
    <t>表④漏斗预测表 + 高风险商机清单</t>
  </si>
  <si>
    <t>算出概率加权预测，得出下季度预计签约额</t>
  </si>
  <si>
    <t>拉出停留超 40 天的商机，逐个过一遍</t>
  </si>
  <si>
    <t>第 4 周</t>
  </si>
  <si>
    <t>选一个 AI 场景落地试跑（推荐：口语问数 或 制度知识库）</t>
  </si>
  <si>
    <t>一个能跑通的 AI 场景 Demo（截图即可）</t>
  </si>
  <si>
    <t>接一张自己的 Excel 表，试问三个问题</t>
  </si>
  <si>
    <t>把结果发到公司群里，让老板看到</t>
  </si>
  <si>
    <t>🔴 三条纪律</t>
  </si>
  <si>
    <t>1. 口径没统一之前，不要上 AI —— 否则你只会更快地得到三个不一样的答案。</t>
  </si>
  <si>
    <t>2. 每周只做一张表，做完再往下走。五张表同时开工，通常一张都做不完。</t>
  </si>
  <si>
    <t>3. 任何 AI 出的数，都要能追溯到原始表。追不回去的数，不要拿去做决策。</t>
  </si>
  <si>
    <t>卡住了随时找：王宏杰 ｜ 19 年 LED 光电与能源电力行业 · 9 年经营分析 · 利兹大学 MBA ｜ 微信/手机：189 1098 9990 ｜ 272702947@qq.com</t>
  </si>
  <si>
    <t>《AI + 经营分析：让老板 5 分钟看懂经营真相》3 小时企业内训 · 课堂实操物料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</si>
</sst>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\+0.0%;\-0.0%"/>
  </numFmts>
  <fonts count="10" x14ac:knownFonts="1">
    <font>
      <sz val="11"/>
      <color theme="1"/>
      <name val="宋体"/>
      <family val="2"/>
      <scheme val="minor"/>
    </font>
    <font>
      <b/>
      <sz val="14"/>
      <color rgb="FF1F2937"/>
      <name val="微软雅黑"/>
      <family val="2"/>
      <charset val="134"/>
    </font>
    <font>
      <sz val="9"/>
      <color rgb="FF6B7280"/>
      <name val="微软雅黑"/>
      <family val="2"/>
      <charset val="134"/>
    </font>
    <font>
      <b/>
      <sz val="10"/>
      <color rgb="FF1F2937"/>
      <name val="微软雅黑"/>
      <family val="2"/>
      <charset val="134"/>
    </font>
    <font>
      <sz val="10"/>
      <color rgb="FF1F2937"/>
      <name val="微软雅黑"/>
      <family val="2"/>
      <charset val="134"/>
    </font>
    <font>
      <b/>
      <sz val="11"/>
      <color rgb="FF1E5FA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B7280"/>
      <name val="微软雅黑"/>
      <family val="2"/>
      <charset val="134"/>
    </font>
    <font>
      <sz val="10"/>
      <color rgb="FFC0392B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F1FA"/>
      </patternFill>
    </fill>
    <fill>
      <patternFill patternType="solid">
        <fgColor rgb="FF1E5FA8"/>
      </patternFill>
    </fill>
    <fill>
      <patternFill patternType="solid">
        <fgColor rgb="FFF5F8FC"/>
      </patternFill>
    </fill>
  </fills>
  <borders count="3">
    <border>
      <left/>
      <right/>
      <top/>
      <bottom/>
      <diagonal/>
    </border>
    <border>
      <left style="thin">
        <color rgb="FFD5DDE7"/>
      </left>
      <right style="thin">
        <color rgb="FFD5DDE7"/>
      </right>
      <top style="thin">
        <color rgb="FFD5DDE7"/>
      </top>
      <bottom style="thin">
        <color rgb="FFD5DDE7"/>
      </bottom>
      <diagonal/>
    </border>
    <border>
      <left/>
      <right/>
      <top/>
      <bottom style="thin">
        <color rgb="FFD5DDE7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right" vertical="center"/>
    </xf>
    <xf numFmtId="3" fontId="4" fillId="0" borderId="1" xfId="0" applyNumberFormat="1" applyFont="1" applyBorder="1" applyAlignment="1">
      <alignment horizontal="left" vertical="center"/>
    </xf>
    <xf numFmtId="3" fontId="4" fillId="4" borderId="1" xfId="0" applyNumberFormat="1" applyFont="1" applyFill="1" applyBorder="1" applyAlignment="1">
      <alignment horizontal="right" vertical="center"/>
    </xf>
    <xf numFmtId="3" fontId="4" fillId="4" borderId="1" xfId="0" applyNumberFormat="1" applyFont="1" applyFill="1" applyBorder="1" applyAlignment="1">
      <alignment horizontal="left" vertical="center"/>
    </xf>
    <xf numFmtId="176" fontId="4" fillId="0" borderId="1" xfId="0" applyNumberFormat="1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right" vertical="center"/>
    </xf>
    <xf numFmtId="0" fontId="4" fillId="0" borderId="0" xfId="0" applyFont="1"/>
    <xf numFmtId="176" fontId="4" fillId="4" borderId="1" xfId="0" applyNumberFormat="1" applyFont="1" applyFill="1" applyBorder="1" applyAlignment="1">
      <alignment horizontal="left" vertical="center"/>
    </xf>
    <xf numFmtId="176" fontId="4" fillId="4" borderId="1" xfId="0" applyNumberFormat="1" applyFont="1" applyFill="1" applyBorder="1" applyAlignment="1">
      <alignment horizontal="right" vertical="center"/>
    </xf>
    <xf numFmtId="0" fontId="8" fillId="0" borderId="0" xfId="0" applyFont="1"/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right" vertical="center"/>
    </xf>
    <xf numFmtId="176" fontId="5" fillId="2" borderId="1" xfId="0" applyNumberFormat="1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4" fillId="0" borderId="1" xfId="0" applyFont="1" applyBorder="1"/>
    <xf numFmtId="3" fontId="4" fillId="0" borderId="1" xfId="0" applyNumberFormat="1" applyFont="1" applyBorder="1"/>
    <xf numFmtId="176" fontId="4" fillId="0" borderId="1" xfId="0" applyNumberFormat="1" applyFont="1" applyBorder="1"/>
    <xf numFmtId="177" fontId="4" fillId="0" borderId="1" xfId="0" applyNumberFormat="1" applyFont="1" applyBorder="1" applyAlignment="1">
      <alignment horizontal="right" vertical="center"/>
    </xf>
    <xf numFmtId="177" fontId="4" fillId="4" borderId="1" xfId="0" applyNumberFormat="1" applyFont="1" applyFill="1" applyBorder="1" applyAlignment="1">
      <alignment horizontal="right" vertical="center"/>
    </xf>
    <xf numFmtId="1" fontId="5" fillId="2" borderId="1" xfId="0" applyNumberFormat="1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center"/>
    </xf>
    <xf numFmtId="176" fontId="3" fillId="0" borderId="1" xfId="0" applyNumberFormat="1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right" vertical="center"/>
    </xf>
    <xf numFmtId="1" fontId="4" fillId="4" borderId="1" xfId="0" applyNumberFormat="1" applyFont="1" applyFill="1" applyBorder="1" applyAlignment="1">
      <alignment horizontal="right" vertical="center"/>
    </xf>
    <xf numFmtId="0" fontId="4" fillId="0" borderId="0" xfId="0" applyFont="1" applyAlignment="1">
      <alignment horizontal="left" vertical="center" wrapText="1"/>
    </xf>
    <xf numFmtId="0" fontId="0" fillId="0" borderId="0" xfId="0"/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176" fontId="4" fillId="4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9"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B7791F"/>
        <name val="微软雅黑"/>
      </font>
      <fill>
        <patternFill patternType="solid">
          <fgColor rgb="FFFEF6E7"/>
        </patternFill>
      </fill>
    </dxf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1E8E5A"/>
        <name val="微软雅黑"/>
      </font>
    </dxf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sz val="10"/>
        <color rgb="FF1E8E5A"/>
        <name val="微软雅黑"/>
      </font>
    </dxf>
    <dxf>
      <font>
        <b/>
        <sz val="10"/>
        <color rgb="FFC0392B"/>
        <name val="微软雅黑"/>
      </font>
    </dxf>
    <dxf>
      <font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C0392B"/>
        <name val="微软雅黑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2"/>
  <sheetViews>
    <sheetView showGridLines="0" tabSelected="1" topLeftCell="A6" workbookViewId="0">
      <selection activeCell="F21" sqref="F21"/>
    </sheetView>
  </sheetViews>
  <sheetFormatPr defaultRowHeight="13.5" x14ac:dyDescent="0.3"/>
  <cols>
    <col min="1" max="1" width="4" customWidth="1"/>
    <col min="2" max="2" width="22" customWidth="1"/>
    <col min="3" max="3" width="86" customWidth="1"/>
  </cols>
  <sheetData>
    <row r="2" spans="2:3" ht="45.4" customHeight="1" x14ac:dyDescent="0.3">
      <c r="B2" s="39" t="s">
        <v>0</v>
      </c>
      <c r="C2" s="39"/>
    </row>
    <row r="3" spans="2:3" ht="23.25" customHeight="1" x14ac:dyDescent="0.3">
      <c r="B3" s="40" t="s">
        <v>237</v>
      </c>
      <c r="C3" s="40"/>
    </row>
    <row r="4" spans="2:3" ht="23.65" customHeight="1" x14ac:dyDescent="0.3">
      <c r="B4" s="40" t="s">
        <v>1</v>
      </c>
      <c r="C4" s="40"/>
    </row>
    <row r="6" spans="2:3" ht="14.65" x14ac:dyDescent="0.3">
      <c r="B6" s="1" t="s">
        <v>2</v>
      </c>
      <c r="C6" s="1" t="s">
        <v>3</v>
      </c>
    </row>
    <row r="7" spans="2:3" ht="30" customHeight="1" x14ac:dyDescent="0.3">
      <c r="B7" s="2" t="s">
        <v>4</v>
      </c>
      <c r="C7" s="3" t="s">
        <v>5</v>
      </c>
    </row>
    <row r="8" spans="2:3" ht="30" customHeight="1" x14ac:dyDescent="0.3">
      <c r="B8" s="2" t="s">
        <v>6</v>
      </c>
      <c r="C8" s="3" t="s">
        <v>7</v>
      </c>
    </row>
    <row r="9" spans="2:3" ht="30" customHeight="1" x14ac:dyDescent="0.3">
      <c r="B9" s="2" t="s">
        <v>8</v>
      </c>
      <c r="C9" s="3" t="s">
        <v>9</v>
      </c>
    </row>
    <row r="10" spans="2:3" ht="30" customHeight="1" x14ac:dyDescent="0.3">
      <c r="B10" s="2" t="s">
        <v>10</v>
      </c>
      <c r="C10" s="3" t="s">
        <v>11</v>
      </c>
    </row>
    <row r="11" spans="2:3" ht="30" customHeight="1" x14ac:dyDescent="0.3">
      <c r="B11" s="2" t="s">
        <v>12</v>
      </c>
      <c r="C11" s="3" t="s">
        <v>13</v>
      </c>
    </row>
    <row r="12" spans="2:3" ht="30" customHeight="1" x14ac:dyDescent="0.3">
      <c r="B12" s="2" t="s">
        <v>14</v>
      </c>
      <c r="C12" s="3" t="s">
        <v>15</v>
      </c>
    </row>
    <row r="13" spans="2:3" ht="30" customHeight="1" x14ac:dyDescent="0.3">
      <c r="B13" s="2" t="s">
        <v>16</v>
      </c>
      <c r="C13" s="3" t="s">
        <v>17</v>
      </c>
    </row>
    <row r="15" spans="2:3" ht="26.65" customHeight="1" x14ac:dyDescent="0.3">
      <c r="B15" s="41" t="s">
        <v>18</v>
      </c>
      <c r="C15" s="41"/>
    </row>
    <row r="16" spans="2:3" ht="22.05" customHeight="1" x14ac:dyDescent="0.3">
      <c r="B16" s="35" t="s">
        <v>19</v>
      </c>
      <c r="C16" s="36"/>
    </row>
    <row r="17" spans="2:3" ht="22.05" customHeight="1" x14ac:dyDescent="0.3">
      <c r="B17" s="35" t="s">
        <v>20</v>
      </c>
      <c r="C17" s="36"/>
    </row>
    <row r="18" spans="2:3" ht="22.05" customHeight="1" x14ac:dyDescent="0.3">
      <c r="B18" s="35" t="s">
        <v>21</v>
      </c>
      <c r="C18" s="36"/>
    </row>
    <row r="19" spans="2:3" ht="22.05" customHeight="1" x14ac:dyDescent="0.3">
      <c r="B19" s="35" t="s">
        <v>22</v>
      </c>
      <c r="C19" s="36"/>
    </row>
    <row r="20" spans="2:3" ht="22.05" customHeight="1" x14ac:dyDescent="0.3">
      <c r="B20" s="35" t="s">
        <v>23</v>
      </c>
      <c r="C20" s="36"/>
    </row>
    <row r="22" spans="2:3" x14ac:dyDescent="0.3">
      <c r="B22" s="37" t="s">
        <v>24</v>
      </c>
      <c r="C22" s="36"/>
    </row>
  </sheetData>
  <mergeCells count="10">
    <mergeCell ref="B2:C2"/>
    <mergeCell ref="B3:C3"/>
    <mergeCell ref="B4:C4"/>
    <mergeCell ref="B15:C15"/>
    <mergeCell ref="B16:C16"/>
    <mergeCell ref="B19:C19"/>
    <mergeCell ref="B20:C20"/>
    <mergeCell ref="B22:C22"/>
    <mergeCell ref="B17:C17"/>
    <mergeCell ref="B18:C18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showGridLines="0" workbookViewId="0">
      <selection activeCell="K10" sqref="K10"/>
    </sheetView>
  </sheetViews>
  <sheetFormatPr defaultRowHeight="13.5" x14ac:dyDescent="0.3"/>
  <cols>
    <col min="1" max="1" width="4" customWidth="1"/>
    <col min="2" max="2" width="18" customWidth="1"/>
    <col min="3" max="4" width="34" customWidth="1"/>
    <col min="5" max="5" width="16" customWidth="1"/>
    <col min="6" max="6" width="14" customWidth="1"/>
    <col min="7" max="7" width="12" customWidth="1"/>
    <col min="8" max="8" width="26" customWidth="1"/>
  </cols>
  <sheetData>
    <row r="1" spans="1:8" ht="40.15" customHeight="1" x14ac:dyDescent="0.3">
      <c r="A1" s="39" t="s">
        <v>25</v>
      </c>
      <c r="B1" s="39"/>
      <c r="C1" s="39"/>
      <c r="D1" s="39"/>
      <c r="E1" s="39"/>
      <c r="F1" s="39"/>
      <c r="G1" s="39"/>
      <c r="H1" s="39"/>
    </row>
    <row r="2" spans="1:8" ht="24.4" customHeight="1" x14ac:dyDescent="0.3">
      <c r="A2" s="40" t="s">
        <v>26</v>
      </c>
      <c r="B2" s="40"/>
      <c r="C2" s="40"/>
      <c r="D2" s="40"/>
      <c r="E2" s="40"/>
      <c r="F2" s="40"/>
      <c r="G2" s="40"/>
      <c r="H2" s="40"/>
    </row>
    <row r="4" spans="1:8" ht="26" customHeight="1" x14ac:dyDescent="0.3">
      <c r="A4" s="5"/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</row>
    <row r="5" spans="1:8" ht="30" customHeight="1" x14ac:dyDescent="0.3">
      <c r="A5" s="6"/>
      <c r="B5" s="6" t="s">
        <v>34</v>
      </c>
      <c r="C5" s="6"/>
      <c r="D5" s="6"/>
      <c r="E5" s="6"/>
      <c r="F5" s="6"/>
      <c r="G5" s="6"/>
      <c r="H5" s="6"/>
    </row>
    <row r="6" spans="1:8" ht="30" customHeight="1" x14ac:dyDescent="0.3">
      <c r="A6" s="7"/>
      <c r="B6" s="7" t="s">
        <v>35</v>
      </c>
      <c r="C6" s="7"/>
      <c r="D6" s="7"/>
      <c r="E6" s="7"/>
      <c r="F6" s="7"/>
      <c r="G6" s="7"/>
      <c r="H6" s="7"/>
    </row>
    <row r="7" spans="1:8" ht="30" customHeight="1" x14ac:dyDescent="0.3">
      <c r="A7" s="6"/>
      <c r="B7" s="6" t="s">
        <v>36</v>
      </c>
      <c r="C7" s="6"/>
      <c r="D7" s="6"/>
      <c r="E7" s="6"/>
      <c r="F7" s="6"/>
      <c r="G7" s="6"/>
      <c r="H7" s="6"/>
    </row>
    <row r="8" spans="1:8" ht="30" customHeight="1" x14ac:dyDescent="0.3">
      <c r="A8" s="7"/>
      <c r="B8" s="7" t="s">
        <v>37</v>
      </c>
      <c r="C8" s="7"/>
      <c r="D8" s="7"/>
      <c r="E8" s="7"/>
      <c r="F8" s="7"/>
      <c r="G8" s="7"/>
      <c r="H8" s="7"/>
    </row>
    <row r="9" spans="1:8" ht="30" customHeight="1" x14ac:dyDescent="0.3">
      <c r="A9" s="6"/>
      <c r="B9" s="6" t="s">
        <v>38</v>
      </c>
      <c r="C9" s="6"/>
      <c r="D9" s="6"/>
      <c r="E9" s="6"/>
      <c r="F9" s="6"/>
      <c r="G9" s="6"/>
      <c r="H9" s="6"/>
    </row>
    <row r="10" spans="1:8" ht="30" customHeight="1" x14ac:dyDescent="0.3">
      <c r="A10" s="7"/>
      <c r="B10" s="7" t="s">
        <v>39</v>
      </c>
      <c r="C10" s="7"/>
      <c r="D10" s="7"/>
      <c r="E10" s="7"/>
      <c r="F10" s="7"/>
      <c r="G10" s="7"/>
      <c r="H10" s="7"/>
    </row>
    <row r="11" spans="1:8" ht="30" customHeight="1" x14ac:dyDescent="0.3">
      <c r="A11" s="6"/>
      <c r="B11" s="6" t="s">
        <v>40</v>
      </c>
      <c r="C11" s="6"/>
      <c r="D11" s="6"/>
      <c r="E11" s="6"/>
      <c r="F11" s="6"/>
      <c r="G11" s="6"/>
      <c r="H11" s="6"/>
    </row>
    <row r="12" spans="1:8" ht="30" customHeight="1" x14ac:dyDescent="0.3">
      <c r="A12" s="7"/>
      <c r="B12" s="7" t="s">
        <v>41</v>
      </c>
      <c r="C12" s="7"/>
      <c r="D12" s="7"/>
      <c r="E12" s="7"/>
      <c r="F12" s="7"/>
      <c r="G12" s="7"/>
      <c r="H12" s="7"/>
    </row>
    <row r="13" spans="1:8" ht="30" customHeight="1" x14ac:dyDescent="0.3">
      <c r="A13" s="6"/>
      <c r="B13" s="6" t="s">
        <v>42</v>
      </c>
      <c r="C13" s="6"/>
      <c r="D13" s="6"/>
      <c r="E13" s="6"/>
      <c r="F13" s="6"/>
      <c r="G13" s="6"/>
      <c r="H13" s="6"/>
    </row>
    <row r="14" spans="1:8" ht="30" customHeight="1" x14ac:dyDescent="0.3">
      <c r="A14" s="7"/>
      <c r="B14" s="7" t="s">
        <v>43</v>
      </c>
      <c r="C14" s="7"/>
      <c r="D14" s="7"/>
      <c r="E14" s="7"/>
      <c r="F14" s="7"/>
      <c r="G14" s="7"/>
      <c r="H14" s="7"/>
    </row>
    <row r="16" spans="1:8" ht="30" customHeight="1" x14ac:dyDescent="0.3">
      <c r="A16" s="38" t="s">
        <v>44</v>
      </c>
      <c r="B16" s="36"/>
      <c r="C16" s="36"/>
      <c r="D16" s="36"/>
      <c r="E16" s="36"/>
      <c r="F16" s="36"/>
      <c r="G16" s="36"/>
      <c r="H16" s="36"/>
    </row>
  </sheetData>
  <mergeCells count="3">
    <mergeCell ref="A16:H16"/>
    <mergeCell ref="A1:H1"/>
    <mergeCell ref="A2:H2"/>
  </mergeCells>
  <phoneticPr fontId="9" type="noConversion"/>
  <dataValidations count="1">
    <dataValidation type="list" allowBlank="1" sqref="G5:G14" xr:uid="{00000000-0002-0000-0100-000000000000}">
      <formula1>"已统一,未统一,有争议"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0"/>
  <sheetViews>
    <sheetView showGridLines="0" workbookViewId="0">
      <pane ySplit="7" topLeftCell="A21" activePane="bottomLeft" state="frozen"/>
      <selection pane="bottomLeft" activeCell="E35" sqref="E35"/>
    </sheetView>
  </sheetViews>
  <sheetFormatPr defaultRowHeight="13.5" x14ac:dyDescent="0.3"/>
  <cols>
    <col min="1" max="1" width="4" customWidth="1"/>
    <col min="2" max="2" width="14" customWidth="1"/>
    <col min="3" max="5" width="15" customWidth="1"/>
    <col min="6" max="6" width="18.06640625" customWidth="1"/>
    <col min="7" max="7" width="15" customWidth="1"/>
    <col min="8" max="8" width="20" customWidth="1"/>
    <col min="9" max="9" width="22" customWidth="1"/>
  </cols>
  <sheetData>
    <row r="1" spans="1:9" ht="40.5" customHeight="1" x14ac:dyDescent="0.3">
      <c r="A1" s="39" t="s">
        <v>45</v>
      </c>
      <c r="B1" s="39"/>
      <c r="C1" s="39"/>
      <c r="D1" s="39"/>
      <c r="E1" s="39"/>
      <c r="F1" s="39"/>
      <c r="G1" s="39"/>
      <c r="H1" s="39"/>
      <c r="I1" s="39"/>
    </row>
    <row r="2" spans="1:9" ht="29.35" customHeight="1" x14ac:dyDescent="0.3">
      <c r="A2" s="40" t="s">
        <v>46</v>
      </c>
      <c r="B2" s="40"/>
      <c r="C2" s="40"/>
      <c r="D2" s="40"/>
      <c r="E2" s="40"/>
      <c r="F2" s="40"/>
      <c r="G2" s="40"/>
      <c r="H2" s="40"/>
      <c r="I2" s="40"/>
    </row>
    <row r="4" spans="1:9" ht="24" customHeight="1" x14ac:dyDescent="0.3">
      <c r="B4" s="2" t="s">
        <v>47</v>
      </c>
      <c r="C4" s="8">
        <v>1850000</v>
      </c>
      <c r="D4" s="2" t="s">
        <v>48</v>
      </c>
      <c r="E4" s="8">
        <f>C4+SUM(E8:E19)</f>
        <v>3390000</v>
      </c>
      <c r="F4" s="2" t="s">
        <v>49</v>
      </c>
      <c r="G4" s="8">
        <f>-AVERAGE(E17:E19)</f>
        <v>-106666.66666666667</v>
      </c>
      <c r="H4" s="2" t="s">
        <v>50</v>
      </c>
      <c r="I4" s="9" t="str">
        <f>IF(G4&lt;=0,"净流入，安全",ROUND(E4/G4,1)&amp;" 个月")</f>
        <v>净流入，安全</v>
      </c>
    </row>
    <row r="7" spans="1:9" ht="26" customHeight="1" x14ac:dyDescent="0.3">
      <c r="A7" s="5"/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/>
      <c r="H7" s="5" t="s">
        <v>56</v>
      </c>
      <c r="I7" s="5"/>
    </row>
    <row r="8" spans="1:9" ht="13.9" x14ac:dyDescent="0.3">
      <c r="A8" s="6"/>
      <c r="B8" s="6" t="s">
        <v>57</v>
      </c>
      <c r="C8" s="10">
        <v>1420000</v>
      </c>
      <c r="D8" s="10">
        <v>1280000</v>
      </c>
      <c r="E8" s="11">
        <f t="shared" ref="E8:E19" si="0">C8-D8</f>
        <v>140000</v>
      </c>
      <c r="F8" s="11">
        <f t="shared" ref="F8:F19" si="1">IF(ROW()=8,$C$4,F7)+E8</f>
        <v>1990000</v>
      </c>
    </row>
    <row r="9" spans="1:9" ht="13.9" x14ac:dyDescent="0.3">
      <c r="A9" s="7"/>
      <c r="B9" s="7" t="s">
        <v>58</v>
      </c>
      <c r="C9" s="12">
        <v>1180000</v>
      </c>
      <c r="D9" s="12">
        <v>1340000</v>
      </c>
      <c r="E9" s="13">
        <f t="shared" si="0"/>
        <v>-160000</v>
      </c>
      <c r="F9" s="13">
        <f t="shared" si="1"/>
        <v>1830000</v>
      </c>
    </row>
    <row r="10" spans="1:9" ht="13.9" x14ac:dyDescent="0.3">
      <c r="A10" s="6"/>
      <c r="B10" s="6" t="s">
        <v>59</v>
      </c>
      <c r="C10" s="10">
        <v>1650000</v>
      </c>
      <c r="D10" s="10">
        <v>1290000</v>
      </c>
      <c r="E10" s="11">
        <f t="shared" si="0"/>
        <v>360000</v>
      </c>
      <c r="F10" s="11">
        <f t="shared" si="1"/>
        <v>2190000</v>
      </c>
    </row>
    <row r="11" spans="1:9" ht="13.9" x14ac:dyDescent="0.3">
      <c r="A11" s="7"/>
      <c r="B11" s="7" t="s">
        <v>60</v>
      </c>
      <c r="C11" s="12">
        <v>1310000</v>
      </c>
      <c r="D11" s="12">
        <v>1420000</v>
      </c>
      <c r="E11" s="13">
        <f t="shared" si="0"/>
        <v>-110000</v>
      </c>
      <c r="F11" s="13">
        <f t="shared" si="1"/>
        <v>2080000</v>
      </c>
    </row>
    <row r="12" spans="1:9" ht="13.9" x14ac:dyDescent="0.3">
      <c r="A12" s="6"/>
      <c r="B12" s="6" t="s">
        <v>61</v>
      </c>
      <c r="C12" s="10">
        <v>1480000</v>
      </c>
      <c r="D12" s="10">
        <v>1310000</v>
      </c>
      <c r="E12" s="11">
        <f t="shared" si="0"/>
        <v>170000</v>
      </c>
      <c r="F12" s="11">
        <f t="shared" si="1"/>
        <v>2250000</v>
      </c>
    </row>
    <row r="13" spans="1:9" ht="13.9" x14ac:dyDescent="0.3">
      <c r="A13" s="7"/>
      <c r="B13" s="7" t="s">
        <v>62</v>
      </c>
      <c r="C13" s="12">
        <v>1720000</v>
      </c>
      <c r="D13" s="12">
        <v>1380000</v>
      </c>
      <c r="E13" s="13">
        <f t="shared" si="0"/>
        <v>340000</v>
      </c>
      <c r="F13" s="13">
        <f t="shared" si="1"/>
        <v>2590000</v>
      </c>
    </row>
    <row r="14" spans="1:9" ht="13.9" x14ac:dyDescent="0.3">
      <c r="A14" s="6"/>
      <c r="B14" s="6" t="s">
        <v>63</v>
      </c>
      <c r="C14" s="10">
        <v>1390000</v>
      </c>
      <c r="D14" s="10">
        <v>1460000</v>
      </c>
      <c r="E14" s="11">
        <f t="shared" si="0"/>
        <v>-70000</v>
      </c>
      <c r="F14" s="11">
        <f t="shared" si="1"/>
        <v>2520000</v>
      </c>
    </row>
    <row r="15" spans="1:9" ht="13.9" x14ac:dyDescent="0.3">
      <c r="A15" s="7"/>
      <c r="B15" s="7" t="s">
        <v>64</v>
      </c>
      <c r="C15" s="12">
        <v>1560000</v>
      </c>
      <c r="D15" s="12">
        <v>1330000</v>
      </c>
      <c r="E15" s="13">
        <f t="shared" si="0"/>
        <v>230000</v>
      </c>
      <c r="F15" s="13">
        <f t="shared" si="1"/>
        <v>2750000</v>
      </c>
    </row>
    <row r="16" spans="1:9" ht="13.9" x14ac:dyDescent="0.3">
      <c r="A16" s="6"/>
      <c r="B16" s="6" t="s">
        <v>65</v>
      </c>
      <c r="C16" s="10">
        <v>1810000</v>
      </c>
      <c r="D16" s="10">
        <v>1490000</v>
      </c>
      <c r="E16" s="11">
        <f t="shared" si="0"/>
        <v>320000</v>
      </c>
      <c r="F16" s="11">
        <f t="shared" si="1"/>
        <v>3070000</v>
      </c>
    </row>
    <row r="17" spans="1:9" ht="13.9" x14ac:dyDescent="0.3">
      <c r="A17" s="7"/>
      <c r="B17" s="7" t="s">
        <v>66</v>
      </c>
      <c r="C17" s="12">
        <v>1250000</v>
      </c>
      <c r="D17" s="12">
        <v>1370000</v>
      </c>
      <c r="E17" s="13">
        <f t="shared" si="0"/>
        <v>-120000</v>
      </c>
      <c r="F17" s="13">
        <f t="shared" si="1"/>
        <v>2950000</v>
      </c>
    </row>
    <row r="18" spans="1:9" ht="13.9" x14ac:dyDescent="0.3">
      <c r="A18" s="6"/>
      <c r="B18" s="6" t="s">
        <v>67</v>
      </c>
      <c r="C18" s="10">
        <v>1490000</v>
      </c>
      <c r="D18" s="10">
        <v>1420000</v>
      </c>
      <c r="E18" s="11">
        <f t="shared" si="0"/>
        <v>70000</v>
      </c>
      <c r="F18" s="11">
        <f t="shared" si="1"/>
        <v>3020000</v>
      </c>
    </row>
    <row r="19" spans="1:9" ht="13.9" x14ac:dyDescent="0.3">
      <c r="A19" s="7"/>
      <c r="B19" s="7" t="s">
        <v>68</v>
      </c>
      <c r="C19" s="12">
        <v>1950000</v>
      </c>
      <c r="D19" s="12">
        <v>1580000</v>
      </c>
      <c r="E19" s="13">
        <f t="shared" si="0"/>
        <v>370000</v>
      </c>
      <c r="F19" s="13">
        <f t="shared" si="1"/>
        <v>3390000</v>
      </c>
    </row>
    <row r="21" spans="1:9" ht="47.25" customHeight="1" x14ac:dyDescent="0.3">
      <c r="A21" s="42" t="s">
        <v>69</v>
      </c>
      <c r="B21" s="42"/>
      <c r="C21" s="42"/>
      <c r="D21" s="42"/>
      <c r="E21" s="42"/>
      <c r="F21" s="42"/>
      <c r="G21" s="42"/>
      <c r="H21" s="42"/>
      <c r="I21" s="42"/>
    </row>
    <row r="22" spans="1:9" ht="26" customHeight="1" x14ac:dyDescent="0.3">
      <c r="A22" s="5"/>
      <c r="B22" s="5" t="s">
        <v>70</v>
      </c>
      <c r="C22" s="5" t="s">
        <v>71</v>
      </c>
      <c r="D22" s="5" t="s">
        <v>72</v>
      </c>
      <c r="E22" s="5" t="s">
        <v>73</v>
      </c>
      <c r="F22" s="5" t="s">
        <v>74</v>
      </c>
      <c r="G22" s="5"/>
      <c r="H22" s="5" t="s">
        <v>75</v>
      </c>
      <c r="I22" s="5"/>
    </row>
    <row r="23" spans="1:9" ht="14.65" x14ac:dyDescent="0.45">
      <c r="A23" s="6"/>
      <c r="B23" s="6" t="s">
        <v>76</v>
      </c>
      <c r="C23" s="10">
        <v>2680000</v>
      </c>
      <c r="D23" s="14">
        <f>C23/SUM($C$23:$C$27)</f>
        <v>0.50470809792843696</v>
      </c>
      <c r="E23" s="15">
        <v>0.98</v>
      </c>
      <c r="F23" s="11">
        <f>C23*E23</f>
        <v>2626400</v>
      </c>
      <c r="H23" s="16" t="s">
        <v>77</v>
      </c>
    </row>
    <row r="24" spans="1:9" ht="14.65" x14ac:dyDescent="0.45">
      <c r="A24" s="7"/>
      <c r="B24" s="7" t="s">
        <v>78</v>
      </c>
      <c r="C24" s="12">
        <v>1240000</v>
      </c>
      <c r="D24" s="17">
        <f>C24/SUM($C$23:$C$27)</f>
        <v>0.2335216572504708</v>
      </c>
      <c r="E24" s="18">
        <v>0.92</v>
      </c>
      <c r="F24" s="13">
        <f>C24*E24</f>
        <v>1140800</v>
      </c>
      <c r="H24" s="16" t="s">
        <v>77</v>
      </c>
    </row>
    <row r="25" spans="1:9" ht="14.65" x14ac:dyDescent="0.45">
      <c r="A25" s="6"/>
      <c r="B25" s="6" t="s">
        <v>79</v>
      </c>
      <c r="C25" s="10">
        <v>680000</v>
      </c>
      <c r="D25" s="14">
        <f>C25/SUM($C$23:$C$27)</f>
        <v>0.128060263653484</v>
      </c>
      <c r="E25" s="15">
        <v>0.8</v>
      </c>
      <c r="F25" s="11">
        <f>C25*E25</f>
        <v>544000</v>
      </c>
      <c r="H25" s="16" t="s">
        <v>80</v>
      </c>
    </row>
    <row r="26" spans="1:9" ht="14.65" x14ac:dyDescent="0.45">
      <c r="A26" s="7"/>
      <c r="B26" s="7" t="s">
        <v>81</v>
      </c>
      <c r="C26" s="12">
        <v>420000</v>
      </c>
      <c r="D26" s="17">
        <f>C26/SUM($C$23:$C$27)</f>
        <v>7.909604519774012E-2</v>
      </c>
      <c r="E26" s="18">
        <v>0.55000000000000004</v>
      </c>
      <c r="F26" s="13">
        <f>C26*E26</f>
        <v>231000.00000000003</v>
      </c>
      <c r="H26" s="16" t="s">
        <v>82</v>
      </c>
    </row>
    <row r="27" spans="1:9" ht="14.65" x14ac:dyDescent="0.45">
      <c r="A27" s="6"/>
      <c r="B27" s="6" t="s">
        <v>83</v>
      </c>
      <c r="C27" s="10">
        <v>290000</v>
      </c>
      <c r="D27" s="14">
        <f>C27/SUM($C$23:$C$27)</f>
        <v>5.4613935969868174E-2</v>
      </c>
      <c r="E27" s="15">
        <v>0.25</v>
      </c>
      <c r="F27" s="11">
        <f>C27*E27</f>
        <v>72500</v>
      </c>
      <c r="H27" s="19" t="s">
        <v>84</v>
      </c>
    </row>
    <row r="28" spans="1:9" ht="14.65" x14ac:dyDescent="0.3">
      <c r="A28" s="20"/>
      <c r="B28" s="20" t="s">
        <v>85</v>
      </c>
      <c r="C28" s="21">
        <f>SUM(C23:C27)</f>
        <v>5310000</v>
      </c>
      <c r="D28" s="22">
        <v>1</v>
      </c>
      <c r="E28" s="20"/>
      <c r="F28" s="21">
        <f>SUM(F23:F27)</f>
        <v>4614700</v>
      </c>
    </row>
    <row r="30" spans="1:9" ht="30" customHeight="1" x14ac:dyDescent="0.3">
      <c r="A30" s="38" t="s">
        <v>86</v>
      </c>
      <c r="B30" s="36"/>
      <c r="C30" s="36"/>
      <c r="D30" s="36"/>
      <c r="E30" s="36"/>
      <c r="F30" s="36"/>
      <c r="G30" s="36"/>
      <c r="H30" s="36"/>
      <c r="I30" s="36"/>
    </row>
  </sheetData>
  <mergeCells count="4">
    <mergeCell ref="A30:I30"/>
    <mergeCell ref="A21:I21"/>
    <mergeCell ref="A1:I1"/>
    <mergeCell ref="A2:I2"/>
  </mergeCells>
  <phoneticPr fontId="9" type="noConversion"/>
  <conditionalFormatting sqref="D23:D27">
    <cfRule type="cellIs" dxfId="8" priority="2" operator="greaterThan">
      <formula>0.4</formula>
    </cfRule>
  </conditionalFormatting>
  <conditionalFormatting sqref="E8:E19">
    <cfRule type="cellIs" dxfId="7" priority="1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showGridLines="0" workbookViewId="0">
      <pane ySplit="7" topLeftCell="A13" activePane="bottomLeft" state="frozen"/>
      <selection pane="bottomLeft" activeCell="K27" sqref="K27"/>
    </sheetView>
  </sheetViews>
  <sheetFormatPr defaultRowHeight="13.5" x14ac:dyDescent="0.3"/>
  <cols>
    <col min="1" max="1" width="4" customWidth="1"/>
    <col min="2" max="2" width="13.796875" customWidth="1"/>
    <col min="3" max="3" width="16" customWidth="1"/>
    <col min="4" max="4" width="18.9296875" customWidth="1"/>
    <col min="5" max="5" width="14" customWidth="1"/>
    <col min="6" max="6" width="4" customWidth="1"/>
    <col min="7" max="7" width="16" customWidth="1"/>
    <col min="8" max="9" width="14" customWidth="1"/>
    <col min="10" max="10" width="16" customWidth="1"/>
  </cols>
  <sheetData>
    <row r="1" spans="1:10" ht="49.5" customHeight="1" x14ac:dyDescent="0.3">
      <c r="A1" s="39" t="s">
        <v>87</v>
      </c>
      <c r="B1" s="39"/>
      <c r="C1" s="39"/>
      <c r="D1" s="39"/>
      <c r="E1" s="39"/>
      <c r="F1" s="39"/>
      <c r="G1" s="39"/>
      <c r="H1" s="39"/>
      <c r="I1" s="39"/>
    </row>
    <row r="2" spans="1:10" ht="31.9" customHeight="1" x14ac:dyDescent="0.3">
      <c r="A2" s="40" t="s">
        <v>88</v>
      </c>
      <c r="B2" s="40"/>
      <c r="C2" s="40"/>
      <c r="D2" s="40"/>
      <c r="E2" s="40"/>
      <c r="F2" s="40"/>
      <c r="G2" s="40"/>
      <c r="H2" s="40"/>
      <c r="I2" s="40"/>
    </row>
    <row r="4" spans="1:10" ht="24" customHeight="1" x14ac:dyDescent="0.3">
      <c r="B4" s="2" t="s">
        <v>89</v>
      </c>
      <c r="C4" s="8">
        <f>SUM(C8:C19)</f>
        <v>11695000</v>
      </c>
      <c r="D4" s="2" t="s">
        <v>90</v>
      </c>
      <c r="E4" s="23">
        <f>SUM(C8:C10)/SUM(C8:C19)</f>
        <v>0.57118426678067546</v>
      </c>
      <c r="F4" s="4"/>
      <c r="G4" s="2" t="s">
        <v>91</v>
      </c>
      <c r="H4" s="23">
        <f>MAX(C8:C19)/SUM(C8:C19)</f>
        <v>0.24454895254382214</v>
      </c>
      <c r="I4" s="2" t="s">
        <v>92</v>
      </c>
      <c r="J4" s="24" t="str">
        <f>IF(H4&gt;0.4,"⚠️ 危险：单一客户超 40%",IF(H4&gt;0.25,"注意：偏高","健康"))</f>
        <v>健康</v>
      </c>
    </row>
    <row r="7" spans="1:10" ht="26" customHeight="1" x14ac:dyDescent="0.3">
      <c r="A7" s="5"/>
      <c r="B7" s="5" t="s">
        <v>93</v>
      </c>
      <c r="C7" s="5" t="s">
        <v>94</v>
      </c>
      <c r="D7" s="5" t="s">
        <v>95</v>
      </c>
      <c r="E7" s="5" t="s">
        <v>96</v>
      </c>
      <c r="F7" s="5"/>
      <c r="G7" s="5" t="s">
        <v>97</v>
      </c>
      <c r="H7" s="5" t="s">
        <v>98</v>
      </c>
      <c r="I7" s="5" t="s">
        <v>72</v>
      </c>
      <c r="J7" s="5" t="s">
        <v>36</v>
      </c>
    </row>
    <row r="8" spans="1:10" ht="14.65" x14ac:dyDescent="0.45">
      <c r="A8" s="6"/>
      <c r="B8" s="6" t="s">
        <v>99</v>
      </c>
      <c r="C8" s="10">
        <v>2860000</v>
      </c>
      <c r="D8" s="15">
        <f t="shared" ref="D8:D19" si="0">C8/SUM($C$8:$C$19)</f>
        <v>0.24454895254382214</v>
      </c>
      <c r="E8" s="15">
        <f>SUM($C$8:C8)/SUM($C$8:$C$19)</f>
        <v>0.24454895254382214</v>
      </c>
      <c r="G8" s="25" t="s">
        <v>100</v>
      </c>
      <c r="H8" s="26">
        <v>5820000</v>
      </c>
      <c r="I8" s="27">
        <f>H8/SUM($H$8:$H$10)</f>
        <v>0.46007905138339922</v>
      </c>
      <c r="J8" s="27">
        <v>0.312</v>
      </c>
    </row>
    <row r="9" spans="1:10" ht="14.65" x14ac:dyDescent="0.45">
      <c r="A9" s="7"/>
      <c r="B9" s="7" t="s">
        <v>101</v>
      </c>
      <c r="C9" s="12">
        <v>2140000</v>
      </c>
      <c r="D9" s="18">
        <f t="shared" si="0"/>
        <v>0.18298418127404875</v>
      </c>
      <c r="E9" s="18">
        <f>SUM($C$8:C9)/SUM($C$8:$C$19)</f>
        <v>0.42753313381787089</v>
      </c>
      <c r="G9" s="25" t="s">
        <v>102</v>
      </c>
      <c r="H9" s="26">
        <v>3980000</v>
      </c>
      <c r="I9" s="27">
        <f>H9/SUM($H$8:$H$10)</f>
        <v>0.31462450592885377</v>
      </c>
      <c r="J9" s="27">
        <v>0.248</v>
      </c>
    </row>
    <row r="10" spans="1:10" ht="14.65" x14ac:dyDescent="0.45">
      <c r="A10" s="6"/>
      <c r="B10" s="6" t="s">
        <v>103</v>
      </c>
      <c r="C10" s="10">
        <v>1680000</v>
      </c>
      <c r="D10" s="15">
        <f t="shared" si="0"/>
        <v>0.14365113296280463</v>
      </c>
      <c r="E10" s="15">
        <f>SUM($C$8:C10)/SUM($C$8:$C$19)</f>
        <v>0.57118426678067546</v>
      </c>
      <c r="G10" s="25" t="s">
        <v>104</v>
      </c>
      <c r="H10" s="26">
        <v>2850000</v>
      </c>
      <c r="I10" s="27">
        <f>H10/SUM($H$8:$H$10)</f>
        <v>0.22529644268774704</v>
      </c>
      <c r="J10" s="27">
        <v>0.19600000000000001</v>
      </c>
    </row>
    <row r="11" spans="1:10" ht="13.9" x14ac:dyDescent="0.3">
      <c r="A11" s="7"/>
      <c r="B11" s="7" t="s">
        <v>105</v>
      </c>
      <c r="C11" s="12">
        <v>1250000</v>
      </c>
      <c r="D11" s="18">
        <f t="shared" si="0"/>
        <v>0.10688328345446772</v>
      </c>
      <c r="E11" s="18">
        <f>SUM($C$8:C11)/SUM($C$8:$C$19)</f>
        <v>0.6780675502351432</v>
      </c>
    </row>
    <row r="12" spans="1:10" ht="13.9" x14ac:dyDescent="0.3">
      <c r="A12" s="6"/>
      <c r="B12" s="6" t="s">
        <v>106</v>
      </c>
      <c r="C12" s="10">
        <v>980000</v>
      </c>
      <c r="D12" s="15">
        <f t="shared" si="0"/>
        <v>8.3796494228302695E-2</v>
      </c>
      <c r="E12" s="15">
        <f>SUM($C$8:C12)/SUM($C$8:$C$19)</f>
        <v>0.76186404446344591</v>
      </c>
    </row>
    <row r="13" spans="1:10" ht="13.9" x14ac:dyDescent="0.3">
      <c r="A13" s="7"/>
      <c r="B13" s="7" t="s">
        <v>107</v>
      </c>
      <c r="C13" s="12">
        <v>760000</v>
      </c>
      <c r="D13" s="18">
        <f t="shared" si="0"/>
        <v>6.4985036340316368E-2</v>
      </c>
      <c r="E13" s="18">
        <f>SUM($C$8:C13)/SUM($C$8:$C$19)</f>
        <v>0.82684908080376229</v>
      </c>
    </row>
    <row r="14" spans="1:10" ht="13.9" x14ac:dyDescent="0.3">
      <c r="A14" s="6"/>
      <c r="B14" s="6" t="s">
        <v>108</v>
      </c>
      <c r="C14" s="10">
        <v>620000</v>
      </c>
      <c r="D14" s="15">
        <f t="shared" si="0"/>
        <v>5.3014108593415987E-2</v>
      </c>
      <c r="E14" s="15">
        <f>SUM($C$8:C14)/SUM($C$8:$C$19)</f>
        <v>0.87986318939717834</v>
      </c>
    </row>
    <row r="15" spans="1:10" ht="13.9" x14ac:dyDescent="0.3">
      <c r="A15" s="7"/>
      <c r="B15" s="7" t="s">
        <v>109</v>
      </c>
      <c r="C15" s="12">
        <v>480000</v>
      </c>
      <c r="D15" s="18">
        <f t="shared" si="0"/>
        <v>4.1043180846515606E-2</v>
      </c>
      <c r="E15" s="18">
        <f>SUM($C$8:C15)/SUM($C$8:$C$19)</f>
        <v>0.92090637024369393</v>
      </c>
    </row>
    <row r="16" spans="1:10" ht="13.9" x14ac:dyDescent="0.3">
      <c r="A16" s="6"/>
      <c r="B16" s="6" t="s">
        <v>110</v>
      </c>
      <c r="C16" s="10">
        <v>390000</v>
      </c>
      <c r="D16" s="15">
        <f t="shared" si="0"/>
        <v>3.3347584437793926E-2</v>
      </c>
      <c r="E16" s="15">
        <f>SUM($C$8:C16)/SUM($C$8:$C$19)</f>
        <v>0.95425395468148777</v>
      </c>
    </row>
    <row r="17" spans="1:10" ht="13.9" x14ac:dyDescent="0.3">
      <c r="A17" s="7"/>
      <c r="B17" s="7" t="s">
        <v>111</v>
      </c>
      <c r="C17" s="12">
        <v>260000</v>
      </c>
      <c r="D17" s="18">
        <f t="shared" si="0"/>
        <v>2.2231722958529286E-2</v>
      </c>
      <c r="E17" s="18">
        <f>SUM($C$8:C17)/SUM($C$8:$C$19)</f>
        <v>0.97648567764001715</v>
      </c>
    </row>
    <row r="18" spans="1:10" ht="13.9" x14ac:dyDescent="0.3">
      <c r="A18" s="6"/>
      <c r="B18" s="6" t="s">
        <v>112</v>
      </c>
      <c r="C18" s="10">
        <v>180000</v>
      </c>
      <c r="D18" s="15">
        <f t="shared" si="0"/>
        <v>1.5391192817443352E-2</v>
      </c>
      <c r="E18" s="15">
        <f>SUM($C$8:C18)/SUM($C$8:$C$19)</f>
        <v>0.99187687045746042</v>
      </c>
    </row>
    <row r="19" spans="1:10" ht="13.9" x14ac:dyDescent="0.3">
      <c r="A19" s="7"/>
      <c r="B19" s="7" t="s">
        <v>113</v>
      </c>
      <c r="C19" s="12">
        <v>95000</v>
      </c>
      <c r="D19" s="18">
        <f t="shared" si="0"/>
        <v>8.123129542539546E-3</v>
      </c>
      <c r="E19" s="18">
        <f>SUM($C$8:C19)/SUM($C$8:$C$19)</f>
        <v>1</v>
      </c>
    </row>
    <row r="21" spans="1:10" ht="31.5" customHeight="1" x14ac:dyDescent="0.3">
      <c r="A21" s="42" t="s">
        <v>114</v>
      </c>
      <c r="B21" s="42"/>
      <c r="C21" s="42"/>
      <c r="D21" s="42"/>
      <c r="E21" s="42"/>
      <c r="F21" s="42"/>
      <c r="G21" s="42"/>
      <c r="H21" s="42"/>
      <c r="I21" s="42"/>
      <c r="J21" s="42"/>
    </row>
    <row r="22" spans="1:10" ht="26" customHeight="1" x14ac:dyDescent="0.3">
      <c r="A22" s="5"/>
      <c r="B22" s="5" t="s">
        <v>115</v>
      </c>
      <c r="C22" s="5" t="s">
        <v>98</v>
      </c>
      <c r="D22" s="5" t="s">
        <v>72</v>
      </c>
      <c r="E22" s="5" t="s">
        <v>116</v>
      </c>
      <c r="F22" s="5"/>
      <c r="G22" s="5"/>
      <c r="H22" s="5"/>
      <c r="I22" s="5"/>
      <c r="J22" s="5"/>
    </row>
    <row r="23" spans="1:10" ht="13.9" x14ac:dyDescent="0.3">
      <c r="A23" s="6"/>
      <c r="B23" s="6" t="s">
        <v>117</v>
      </c>
      <c r="C23" s="10">
        <v>4260000</v>
      </c>
      <c r="D23" s="14">
        <f>C23/SUM($C$23:$C$27)</f>
        <v>0.35294117647058826</v>
      </c>
      <c r="E23" s="28">
        <v>0.18</v>
      </c>
    </row>
    <row r="24" spans="1:10" ht="13.9" x14ac:dyDescent="0.3">
      <c r="A24" s="7"/>
      <c r="B24" s="7" t="s">
        <v>118</v>
      </c>
      <c r="C24" s="12">
        <v>3150000</v>
      </c>
      <c r="D24" s="17">
        <f>C24/SUM($C$23:$C$27)</f>
        <v>0.26097763048881523</v>
      </c>
      <c r="E24" s="29">
        <v>-0.06</v>
      </c>
    </row>
    <row r="25" spans="1:10" ht="13.9" x14ac:dyDescent="0.3">
      <c r="A25" s="6"/>
      <c r="B25" s="6" t="s">
        <v>119</v>
      </c>
      <c r="C25" s="10">
        <v>2380000</v>
      </c>
      <c r="D25" s="14">
        <f>C25/SUM($C$23:$C$27)</f>
        <v>0.19718309859154928</v>
      </c>
      <c r="E25" s="28">
        <v>0.22</v>
      </c>
    </row>
    <row r="26" spans="1:10" ht="13.9" x14ac:dyDescent="0.3">
      <c r="A26" s="7"/>
      <c r="B26" s="7" t="s">
        <v>120</v>
      </c>
      <c r="C26" s="12">
        <v>1420000</v>
      </c>
      <c r="D26" s="17">
        <f>C26/SUM($C$23:$C$27)</f>
        <v>0.11764705882352941</v>
      </c>
      <c r="E26" s="29">
        <v>0.35</v>
      </c>
    </row>
    <row r="27" spans="1:10" ht="13.9" x14ac:dyDescent="0.3">
      <c r="A27" s="6"/>
      <c r="B27" s="6" t="s">
        <v>121</v>
      </c>
      <c r="C27" s="10">
        <v>860000</v>
      </c>
      <c r="D27" s="14">
        <f>C27/SUM($C$23:$C$27)</f>
        <v>7.1251035625517808E-2</v>
      </c>
      <c r="E27" s="28">
        <v>-0.12</v>
      </c>
    </row>
    <row r="29" spans="1:10" ht="30" customHeight="1" x14ac:dyDescent="0.3">
      <c r="A29" s="38" t="s">
        <v>122</v>
      </c>
      <c r="B29" s="36"/>
      <c r="C29" s="36"/>
      <c r="D29" s="36"/>
      <c r="E29" s="36"/>
      <c r="F29" s="36"/>
      <c r="G29" s="36"/>
      <c r="H29" s="36"/>
      <c r="I29" s="36"/>
      <c r="J29" s="36"/>
    </row>
  </sheetData>
  <mergeCells count="4">
    <mergeCell ref="A29:J29"/>
    <mergeCell ref="A1:I1"/>
    <mergeCell ref="A2:I2"/>
    <mergeCell ref="A21:J21"/>
  </mergeCells>
  <phoneticPr fontId="9" type="noConversion"/>
  <conditionalFormatting sqref="D8:D19">
    <cfRule type="cellIs" dxfId="6" priority="1" operator="greaterThan">
      <formula>0.15</formula>
    </cfRule>
  </conditionalFormatting>
  <conditionalFormatting sqref="E23:E27">
    <cfRule type="cellIs" dxfId="5" priority="2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showGridLines="0" workbookViewId="0">
      <pane ySplit="7" topLeftCell="A8" activePane="bottomLeft" state="frozen"/>
      <selection pane="bottomLeft" activeCell="K20" sqref="K20"/>
    </sheetView>
  </sheetViews>
  <sheetFormatPr defaultRowHeight="13.5" x14ac:dyDescent="0.3"/>
  <cols>
    <col min="1" max="1" width="4" customWidth="1"/>
    <col min="2" max="2" width="14" customWidth="1"/>
    <col min="3" max="3" width="16" customWidth="1"/>
    <col min="4" max="4" width="16.1328125" customWidth="1"/>
    <col min="5" max="7" width="14" customWidth="1"/>
    <col min="8" max="8" width="12" customWidth="1"/>
    <col min="9" max="9" width="24" customWidth="1"/>
  </cols>
  <sheetData>
    <row r="1" spans="1:9" ht="31.15" customHeight="1" x14ac:dyDescent="0.3">
      <c r="A1" s="39" t="s">
        <v>123</v>
      </c>
      <c r="B1" s="39"/>
      <c r="C1" s="39"/>
      <c r="D1" s="39"/>
      <c r="E1" s="39"/>
      <c r="F1" s="39"/>
      <c r="G1" s="39"/>
      <c r="H1" s="39"/>
      <c r="I1" s="39"/>
    </row>
    <row r="2" spans="1:9" ht="29.65" customHeight="1" x14ac:dyDescent="0.3">
      <c r="A2" s="40" t="s">
        <v>124</v>
      </c>
      <c r="B2" s="40"/>
      <c r="C2" s="40"/>
      <c r="D2" s="40"/>
      <c r="E2" s="40"/>
      <c r="F2" s="40"/>
      <c r="G2" s="40"/>
      <c r="H2" s="40"/>
      <c r="I2" s="40"/>
    </row>
    <row r="4" spans="1:9" ht="24" customHeight="1" x14ac:dyDescent="0.3">
      <c r="B4" s="2" t="s">
        <v>125</v>
      </c>
      <c r="C4" s="23">
        <v>0.25</v>
      </c>
      <c r="D4" s="2" t="s">
        <v>126</v>
      </c>
      <c r="E4" s="30">
        <f>COUNTIF(G8:G17,"&lt;0.25")</f>
        <v>7</v>
      </c>
      <c r="F4" s="2" t="s">
        <v>127</v>
      </c>
      <c r="G4" s="23">
        <f>IF(SUM(C8:C17)=0,0,SUM(F8:F17)/SUM(C8:C17))</f>
        <v>0.22239641657334827</v>
      </c>
      <c r="H4" s="4"/>
      <c r="I4" s="24" t="str">
        <f>IF(E4=0,"全部达标","⚠️ 有 "&amp;E4&amp;" 个项目低于底线")</f>
        <v>⚠️ 有 7 个项目低于底线</v>
      </c>
    </row>
    <row r="7" spans="1:9" ht="26" customHeight="1" x14ac:dyDescent="0.3">
      <c r="A7" s="5"/>
      <c r="B7" s="5" t="s">
        <v>128</v>
      </c>
      <c r="C7" s="5" t="s">
        <v>129</v>
      </c>
      <c r="D7" s="5" t="s">
        <v>130</v>
      </c>
      <c r="E7" s="5" t="s">
        <v>131</v>
      </c>
      <c r="F7" s="5" t="s">
        <v>132</v>
      </c>
      <c r="G7" s="5" t="s">
        <v>36</v>
      </c>
      <c r="H7" s="5" t="s">
        <v>133</v>
      </c>
      <c r="I7" s="5" t="s">
        <v>134</v>
      </c>
    </row>
    <row r="8" spans="1:9" ht="14.65" x14ac:dyDescent="0.45">
      <c r="A8" s="6"/>
      <c r="B8" s="6" t="s">
        <v>135</v>
      </c>
      <c r="C8" s="10">
        <v>1860000</v>
      </c>
      <c r="D8" s="10">
        <v>1210000</v>
      </c>
      <c r="E8" s="10">
        <v>186000</v>
      </c>
      <c r="F8" s="11">
        <f t="shared" ref="F8:F17" si="0">C8-D8-E8</f>
        <v>464000</v>
      </c>
      <c r="G8" s="14">
        <f t="shared" ref="G8:G17" si="1">IF(C8=0,0,F8/C8)</f>
        <v>0.24946236559139784</v>
      </c>
      <c r="H8" s="31" t="str">
        <f t="shared" ref="H8:H17" si="2">IF(G8&lt;$C$4,"低于底线","达标")</f>
        <v>低于底线</v>
      </c>
      <c r="I8" s="25" t="str">
        <f t="shared" ref="I8:I17" si="3">IF(G8&lt;$C$4-0.1,"建议止损或重议价",IF(G8&lt;$C$4,"压成本 / 提报价","维持"))</f>
        <v>压成本 / 提报价</v>
      </c>
    </row>
    <row r="9" spans="1:9" ht="14.65" x14ac:dyDescent="0.45">
      <c r="A9" s="7"/>
      <c r="B9" s="7" t="s">
        <v>136</v>
      </c>
      <c r="C9" s="12">
        <v>1420000</v>
      </c>
      <c r="D9" s="12">
        <v>980000</v>
      </c>
      <c r="E9" s="12">
        <v>142000</v>
      </c>
      <c r="F9" s="13">
        <f t="shared" si="0"/>
        <v>298000</v>
      </c>
      <c r="G9" s="17">
        <f t="shared" si="1"/>
        <v>0.20985915492957746</v>
      </c>
      <c r="H9" s="31" t="str">
        <f t="shared" si="2"/>
        <v>低于底线</v>
      </c>
      <c r="I9" s="25" t="str">
        <f t="shared" si="3"/>
        <v>压成本 / 提报价</v>
      </c>
    </row>
    <row r="10" spans="1:9" ht="14.65" x14ac:dyDescent="0.45">
      <c r="A10" s="6"/>
      <c r="B10" s="6" t="s">
        <v>137</v>
      </c>
      <c r="C10" s="10">
        <v>1180000</v>
      </c>
      <c r="D10" s="10">
        <v>720000</v>
      </c>
      <c r="E10" s="10">
        <v>118000</v>
      </c>
      <c r="F10" s="11">
        <f t="shared" si="0"/>
        <v>342000</v>
      </c>
      <c r="G10" s="14">
        <f t="shared" si="1"/>
        <v>0.28983050847457625</v>
      </c>
      <c r="H10" s="31" t="str">
        <f t="shared" si="2"/>
        <v>达标</v>
      </c>
      <c r="I10" s="25" t="str">
        <f t="shared" si="3"/>
        <v>维持</v>
      </c>
    </row>
    <row r="11" spans="1:9" ht="14.65" x14ac:dyDescent="0.45">
      <c r="A11" s="7"/>
      <c r="B11" s="7" t="s">
        <v>138</v>
      </c>
      <c r="C11" s="12">
        <v>960000</v>
      </c>
      <c r="D11" s="12">
        <v>690000</v>
      </c>
      <c r="E11" s="12">
        <v>96000</v>
      </c>
      <c r="F11" s="13">
        <f t="shared" si="0"/>
        <v>174000</v>
      </c>
      <c r="G11" s="17">
        <f t="shared" si="1"/>
        <v>0.18124999999999999</v>
      </c>
      <c r="H11" s="31" t="str">
        <f t="shared" si="2"/>
        <v>低于底线</v>
      </c>
      <c r="I11" s="25" t="str">
        <f t="shared" si="3"/>
        <v>压成本 / 提报价</v>
      </c>
    </row>
    <row r="12" spans="1:9" ht="14.65" x14ac:dyDescent="0.45">
      <c r="A12" s="6"/>
      <c r="B12" s="6" t="s">
        <v>139</v>
      </c>
      <c r="C12" s="10">
        <v>880000</v>
      </c>
      <c r="D12" s="10">
        <v>540000</v>
      </c>
      <c r="E12" s="10">
        <v>88000</v>
      </c>
      <c r="F12" s="11">
        <f t="shared" si="0"/>
        <v>252000</v>
      </c>
      <c r="G12" s="14">
        <f t="shared" si="1"/>
        <v>0.28636363636363638</v>
      </c>
      <c r="H12" s="31" t="str">
        <f t="shared" si="2"/>
        <v>达标</v>
      </c>
      <c r="I12" s="25" t="str">
        <f t="shared" si="3"/>
        <v>维持</v>
      </c>
    </row>
    <row r="13" spans="1:9" ht="14.65" x14ac:dyDescent="0.45">
      <c r="A13" s="7"/>
      <c r="B13" s="7" t="s">
        <v>140</v>
      </c>
      <c r="C13" s="12">
        <v>760000</v>
      </c>
      <c r="D13" s="12">
        <v>590000</v>
      </c>
      <c r="E13" s="12">
        <v>76000</v>
      </c>
      <c r="F13" s="13">
        <f t="shared" si="0"/>
        <v>94000</v>
      </c>
      <c r="G13" s="17">
        <f t="shared" si="1"/>
        <v>0.12368421052631579</v>
      </c>
      <c r="H13" s="31" t="str">
        <f t="shared" si="2"/>
        <v>低于底线</v>
      </c>
      <c r="I13" s="25" t="str">
        <f t="shared" si="3"/>
        <v>建议止损或重议价</v>
      </c>
    </row>
    <row r="14" spans="1:9" ht="14.65" x14ac:dyDescent="0.45">
      <c r="A14" s="6"/>
      <c r="B14" s="6" t="s">
        <v>141</v>
      </c>
      <c r="C14" s="10">
        <v>640000</v>
      </c>
      <c r="D14" s="10">
        <v>398000</v>
      </c>
      <c r="E14" s="10">
        <v>64000</v>
      </c>
      <c r="F14" s="11">
        <f t="shared" si="0"/>
        <v>178000</v>
      </c>
      <c r="G14" s="14">
        <f t="shared" si="1"/>
        <v>0.27812500000000001</v>
      </c>
      <c r="H14" s="31" t="str">
        <f t="shared" si="2"/>
        <v>达标</v>
      </c>
      <c r="I14" s="25" t="str">
        <f t="shared" si="3"/>
        <v>维持</v>
      </c>
    </row>
    <row r="15" spans="1:9" ht="14.65" x14ac:dyDescent="0.45">
      <c r="A15" s="7"/>
      <c r="B15" s="7" t="s">
        <v>142</v>
      </c>
      <c r="C15" s="12">
        <v>520000</v>
      </c>
      <c r="D15" s="12">
        <v>386000</v>
      </c>
      <c r="E15" s="12">
        <v>52000</v>
      </c>
      <c r="F15" s="13">
        <f t="shared" si="0"/>
        <v>82000</v>
      </c>
      <c r="G15" s="17">
        <f t="shared" si="1"/>
        <v>0.15769230769230769</v>
      </c>
      <c r="H15" s="31" t="str">
        <f t="shared" si="2"/>
        <v>低于底线</v>
      </c>
      <c r="I15" s="25" t="str">
        <f t="shared" si="3"/>
        <v>压成本 / 提报价</v>
      </c>
    </row>
    <row r="16" spans="1:9" ht="14.65" x14ac:dyDescent="0.45">
      <c r="A16" s="6"/>
      <c r="B16" s="6" t="s">
        <v>143</v>
      </c>
      <c r="C16" s="10">
        <v>430000</v>
      </c>
      <c r="D16" s="10">
        <v>305000</v>
      </c>
      <c r="E16" s="10">
        <v>43000</v>
      </c>
      <c r="F16" s="11">
        <f t="shared" si="0"/>
        <v>82000</v>
      </c>
      <c r="G16" s="14">
        <f t="shared" si="1"/>
        <v>0.19069767441860466</v>
      </c>
      <c r="H16" s="31" t="str">
        <f t="shared" si="2"/>
        <v>低于底线</v>
      </c>
      <c r="I16" s="25" t="str">
        <f t="shared" si="3"/>
        <v>压成本 / 提报价</v>
      </c>
    </row>
    <row r="17" spans="1:9" ht="14.65" x14ac:dyDescent="0.45">
      <c r="A17" s="7"/>
      <c r="B17" s="7" t="s">
        <v>144</v>
      </c>
      <c r="C17" s="12">
        <v>280000</v>
      </c>
      <c r="D17" s="12">
        <v>232000</v>
      </c>
      <c r="E17" s="12">
        <v>28000</v>
      </c>
      <c r="F17" s="13">
        <f t="shared" si="0"/>
        <v>20000</v>
      </c>
      <c r="G17" s="17">
        <f t="shared" si="1"/>
        <v>7.1428571428571425E-2</v>
      </c>
      <c r="H17" s="31" t="str">
        <f t="shared" si="2"/>
        <v>低于底线</v>
      </c>
      <c r="I17" s="25" t="str">
        <f t="shared" si="3"/>
        <v>建议止损或重议价</v>
      </c>
    </row>
    <row r="18" spans="1:9" ht="14.65" x14ac:dyDescent="0.3">
      <c r="A18" s="20"/>
      <c r="B18" s="20" t="s">
        <v>85</v>
      </c>
      <c r="C18" s="21">
        <f>SUM(C8:C17)</f>
        <v>8930000</v>
      </c>
      <c r="D18" s="21">
        <f>SUM(D8:D17)</f>
        <v>6051000</v>
      </c>
      <c r="E18" s="21">
        <f>SUM(E8:E17)</f>
        <v>893000</v>
      </c>
      <c r="F18" s="21">
        <f>SUM(F8:F17)</f>
        <v>1986000</v>
      </c>
      <c r="G18" s="32">
        <f>F18/C18</f>
        <v>0.22239641657334827</v>
      </c>
    </row>
    <row r="20" spans="1:9" ht="30" customHeight="1" x14ac:dyDescent="0.3">
      <c r="A20" s="38" t="s">
        <v>145</v>
      </c>
      <c r="B20" s="36"/>
      <c r="C20" s="36"/>
      <c r="D20" s="36"/>
      <c r="E20" s="36"/>
      <c r="F20" s="36"/>
      <c r="G20" s="36"/>
      <c r="H20" s="36"/>
      <c r="I20" s="36"/>
    </row>
  </sheetData>
  <mergeCells count="3">
    <mergeCell ref="A20:I20"/>
    <mergeCell ref="A1:I1"/>
    <mergeCell ref="A2:I2"/>
  </mergeCells>
  <phoneticPr fontId="9" type="noConversion"/>
  <conditionalFormatting sqref="G8:G17">
    <cfRule type="cellIs" dxfId="4" priority="1" operator="lessThan">
      <formula>$C$4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5"/>
  <sheetViews>
    <sheetView showGridLines="0" workbookViewId="0">
      <pane ySplit="7" topLeftCell="A8" activePane="bottomLeft" state="frozen"/>
      <selection pane="bottomLeft" activeCell="K14" sqref="K14"/>
    </sheetView>
  </sheetViews>
  <sheetFormatPr defaultRowHeight="13.5" x14ac:dyDescent="0.3"/>
  <cols>
    <col min="1" max="1" width="4" customWidth="1"/>
    <col min="2" max="2" width="14" customWidth="1"/>
    <col min="3" max="5" width="16" customWidth="1"/>
    <col min="6" max="8" width="14" customWidth="1"/>
    <col min="9" max="9" width="19.73046875" customWidth="1"/>
    <col min="10" max="10" width="16.19921875" customWidth="1"/>
  </cols>
  <sheetData>
    <row r="1" spans="1:10" ht="55.15" customHeight="1" x14ac:dyDescent="0.3">
      <c r="A1" s="39" t="s">
        <v>146</v>
      </c>
      <c r="B1" s="39"/>
      <c r="C1" s="39"/>
      <c r="D1" s="39"/>
      <c r="E1" s="39"/>
      <c r="F1" s="39"/>
      <c r="G1" s="39"/>
      <c r="H1" s="39"/>
      <c r="I1" s="39"/>
    </row>
    <row r="2" spans="1:10" ht="31.5" customHeight="1" x14ac:dyDescent="0.3">
      <c r="A2" s="40" t="s">
        <v>147</v>
      </c>
      <c r="B2" s="40"/>
      <c r="C2" s="40"/>
      <c r="D2" s="40"/>
      <c r="E2" s="40"/>
      <c r="F2" s="40"/>
      <c r="G2" s="40"/>
      <c r="H2" s="40"/>
      <c r="I2" s="40"/>
    </row>
    <row r="4" spans="1:10" ht="24" customHeight="1" x14ac:dyDescent="0.3">
      <c r="B4" s="2" t="s">
        <v>148</v>
      </c>
      <c r="C4" s="8">
        <f>SUM(C8:C22)</f>
        <v>9090000</v>
      </c>
      <c r="D4" s="2" t="s">
        <v>149</v>
      </c>
      <c r="E4" s="8">
        <f>SUM(G8:G22)</f>
        <v>4881000</v>
      </c>
      <c r="F4" s="2" t="s">
        <v>150</v>
      </c>
      <c r="G4" s="23">
        <f>IF(C4=0,0,E4/C4)</f>
        <v>0.53696369636963692</v>
      </c>
      <c r="H4" s="4"/>
      <c r="I4" s="2" t="s">
        <v>151</v>
      </c>
      <c r="J4" s="8">
        <f>SUMIF(I8:I22,"2026-Q4",G8:G22)</f>
        <v>4566500</v>
      </c>
    </row>
    <row r="7" spans="1:10" ht="26" customHeight="1" x14ac:dyDescent="0.3">
      <c r="A7" s="5"/>
      <c r="B7" s="5" t="s">
        <v>152</v>
      </c>
      <c r="C7" s="5" t="s">
        <v>71</v>
      </c>
      <c r="D7" s="5" t="s">
        <v>93</v>
      </c>
      <c r="E7" s="5" t="s">
        <v>153</v>
      </c>
      <c r="F7" s="5" t="s">
        <v>154</v>
      </c>
      <c r="G7" s="5" t="s">
        <v>155</v>
      </c>
      <c r="H7" s="5" t="s">
        <v>156</v>
      </c>
      <c r="I7" s="5" t="s">
        <v>157</v>
      </c>
    </row>
    <row r="8" spans="1:10" ht="13.9" x14ac:dyDescent="0.3">
      <c r="A8" s="6"/>
      <c r="B8" s="6" t="s">
        <v>158</v>
      </c>
      <c r="C8" s="10">
        <v>1680000</v>
      </c>
      <c r="D8" s="6" t="s">
        <v>99</v>
      </c>
      <c r="E8" s="6" t="s">
        <v>159</v>
      </c>
      <c r="F8" s="15">
        <v>0.8</v>
      </c>
      <c r="G8" s="11">
        <f t="shared" ref="G8:G22" si="0">C8*F8</f>
        <v>1344000</v>
      </c>
      <c r="H8" s="33">
        <v>42</v>
      </c>
      <c r="I8" s="6" t="s">
        <v>160</v>
      </c>
    </row>
    <row r="9" spans="1:10" ht="13.9" x14ac:dyDescent="0.3">
      <c r="A9" s="7"/>
      <c r="B9" s="7" t="s">
        <v>161</v>
      </c>
      <c r="C9" s="12">
        <v>1240000</v>
      </c>
      <c r="D9" s="7" t="s">
        <v>101</v>
      </c>
      <c r="E9" s="7" t="s">
        <v>162</v>
      </c>
      <c r="F9" s="18">
        <v>0.5</v>
      </c>
      <c r="G9" s="13">
        <f t="shared" si="0"/>
        <v>620000</v>
      </c>
      <c r="H9" s="34">
        <v>18</v>
      </c>
      <c r="I9" s="7" t="s">
        <v>160</v>
      </c>
    </row>
    <row r="10" spans="1:10" ht="13.9" x14ac:dyDescent="0.3">
      <c r="A10" s="6"/>
      <c r="B10" s="6" t="s">
        <v>163</v>
      </c>
      <c r="C10" s="10">
        <v>980000</v>
      </c>
      <c r="D10" s="6" t="s">
        <v>103</v>
      </c>
      <c r="E10" s="6" t="s">
        <v>159</v>
      </c>
      <c r="F10" s="15">
        <v>0.8</v>
      </c>
      <c r="G10" s="11">
        <f t="shared" si="0"/>
        <v>784000</v>
      </c>
      <c r="H10" s="33">
        <v>55</v>
      </c>
      <c r="I10" s="6" t="s">
        <v>160</v>
      </c>
    </row>
    <row r="11" spans="1:10" ht="13.9" x14ac:dyDescent="0.3">
      <c r="A11" s="7"/>
      <c r="B11" s="7" t="s">
        <v>164</v>
      </c>
      <c r="C11" s="12">
        <v>860000</v>
      </c>
      <c r="D11" s="7" t="s">
        <v>105</v>
      </c>
      <c r="E11" s="7" t="s">
        <v>165</v>
      </c>
      <c r="F11" s="18">
        <v>0.35</v>
      </c>
      <c r="G11" s="13">
        <f t="shared" si="0"/>
        <v>301000</v>
      </c>
      <c r="H11" s="34">
        <v>12</v>
      </c>
      <c r="I11" s="7" t="s">
        <v>160</v>
      </c>
    </row>
    <row r="12" spans="1:10" ht="13.9" x14ac:dyDescent="0.3">
      <c r="A12" s="6"/>
      <c r="B12" s="6" t="s">
        <v>166</v>
      </c>
      <c r="C12" s="10">
        <v>720000</v>
      </c>
      <c r="D12" s="6" t="s">
        <v>106</v>
      </c>
      <c r="E12" s="6" t="s">
        <v>162</v>
      </c>
      <c r="F12" s="15">
        <v>0.5</v>
      </c>
      <c r="G12" s="11">
        <f t="shared" si="0"/>
        <v>360000</v>
      </c>
      <c r="H12" s="33">
        <v>31</v>
      </c>
      <c r="I12" s="6" t="s">
        <v>160</v>
      </c>
    </row>
    <row r="13" spans="1:10" ht="13.9" x14ac:dyDescent="0.3">
      <c r="A13" s="7"/>
      <c r="B13" s="7" t="s">
        <v>167</v>
      </c>
      <c r="C13" s="12">
        <v>640000</v>
      </c>
      <c r="D13" s="7" t="s">
        <v>107</v>
      </c>
      <c r="E13" s="7" t="s">
        <v>168</v>
      </c>
      <c r="F13" s="18">
        <v>0.15</v>
      </c>
      <c r="G13" s="13">
        <f t="shared" si="0"/>
        <v>96000</v>
      </c>
      <c r="H13" s="34">
        <v>8</v>
      </c>
      <c r="I13" s="7" t="s">
        <v>169</v>
      </c>
    </row>
    <row r="14" spans="1:10" ht="13.9" x14ac:dyDescent="0.3">
      <c r="A14" s="6"/>
      <c r="B14" s="6" t="s">
        <v>170</v>
      </c>
      <c r="C14" s="10">
        <v>580000</v>
      </c>
      <c r="D14" s="6" t="s">
        <v>108</v>
      </c>
      <c r="E14" s="6" t="s">
        <v>165</v>
      </c>
      <c r="F14" s="15">
        <v>0.35</v>
      </c>
      <c r="G14" s="11">
        <f t="shared" si="0"/>
        <v>203000</v>
      </c>
      <c r="H14" s="33">
        <v>24</v>
      </c>
      <c r="I14" s="6" t="s">
        <v>160</v>
      </c>
    </row>
    <row r="15" spans="1:10" ht="13.9" x14ac:dyDescent="0.3">
      <c r="A15" s="7"/>
      <c r="B15" s="7" t="s">
        <v>171</v>
      </c>
      <c r="C15" s="12">
        <v>490000</v>
      </c>
      <c r="D15" s="7" t="s">
        <v>109</v>
      </c>
      <c r="E15" s="7" t="s">
        <v>162</v>
      </c>
      <c r="F15" s="18">
        <v>0.5</v>
      </c>
      <c r="G15" s="13">
        <f t="shared" si="0"/>
        <v>245000</v>
      </c>
      <c r="H15" s="34">
        <v>47</v>
      </c>
      <c r="I15" s="7" t="s">
        <v>160</v>
      </c>
    </row>
    <row r="16" spans="1:10" ht="13.9" x14ac:dyDescent="0.3">
      <c r="A16" s="6"/>
      <c r="B16" s="6" t="s">
        <v>172</v>
      </c>
      <c r="C16" s="10">
        <v>430000</v>
      </c>
      <c r="D16" s="6" t="s">
        <v>110</v>
      </c>
      <c r="E16" s="6" t="s">
        <v>173</v>
      </c>
      <c r="F16" s="15">
        <v>0.95</v>
      </c>
      <c r="G16" s="11">
        <f t="shared" si="0"/>
        <v>408500</v>
      </c>
      <c r="H16" s="33">
        <v>6</v>
      </c>
      <c r="I16" s="6" t="s">
        <v>160</v>
      </c>
    </row>
    <row r="17" spans="1:9" ht="13.9" x14ac:dyDescent="0.3">
      <c r="A17" s="7"/>
      <c r="B17" s="7" t="s">
        <v>174</v>
      </c>
      <c r="C17" s="12">
        <v>380000</v>
      </c>
      <c r="D17" s="7" t="s">
        <v>111</v>
      </c>
      <c r="E17" s="7" t="s">
        <v>168</v>
      </c>
      <c r="F17" s="18">
        <v>0.15</v>
      </c>
      <c r="G17" s="13">
        <f t="shared" si="0"/>
        <v>57000</v>
      </c>
      <c r="H17" s="34">
        <v>5</v>
      </c>
      <c r="I17" s="7" t="s">
        <v>169</v>
      </c>
    </row>
    <row r="18" spans="1:9" ht="13.9" x14ac:dyDescent="0.3">
      <c r="A18" s="6"/>
      <c r="B18" s="6" t="s">
        <v>175</v>
      </c>
      <c r="C18" s="10">
        <v>320000</v>
      </c>
      <c r="D18" s="6" t="s">
        <v>112</v>
      </c>
      <c r="E18" s="6" t="s">
        <v>165</v>
      </c>
      <c r="F18" s="15">
        <v>0.35</v>
      </c>
      <c r="G18" s="11">
        <f t="shared" si="0"/>
        <v>112000</v>
      </c>
      <c r="H18" s="33">
        <v>19</v>
      </c>
      <c r="I18" s="6" t="s">
        <v>169</v>
      </c>
    </row>
    <row r="19" spans="1:9" ht="13.9" x14ac:dyDescent="0.3">
      <c r="A19" s="7"/>
      <c r="B19" s="7" t="s">
        <v>176</v>
      </c>
      <c r="C19" s="12">
        <v>260000</v>
      </c>
      <c r="D19" s="7" t="s">
        <v>113</v>
      </c>
      <c r="E19" s="7" t="s">
        <v>162</v>
      </c>
      <c r="F19" s="18">
        <v>0.5</v>
      </c>
      <c r="G19" s="13">
        <f t="shared" si="0"/>
        <v>130000</v>
      </c>
      <c r="H19" s="34">
        <v>38</v>
      </c>
      <c r="I19" s="7" t="s">
        <v>160</v>
      </c>
    </row>
    <row r="20" spans="1:9" ht="13.9" x14ac:dyDescent="0.3">
      <c r="A20" s="6"/>
      <c r="B20" s="6" t="s">
        <v>177</v>
      </c>
      <c r="C20" s="10">
        <v>210000</v>
      </c>
      <c r="D20" s="6" t="s">
        <v>178</v>
      </c>
      <c r="E20" s="6" t="s">
        <v>168</v>
      </c>
      <c r="F20" s="15">
        <v>0.15</v>
      </c>
      <c r="G20" s="11">
        <f t="shared" si="0"/>
        <v>31500</v>
      </c>
      <c r="H20" s="33">
        <v>3</v>
      </c>
      <c r="I20" s="6" t="s">
        <v>169</v>
      </c>
    </row>
    <row r="21" spans="1:9" ht="13.9" x14ac:dyDescent="0.3">
      <c r="A21" s="7"/>
      <c r="B21" s="7" t="s">
        <v>179</v>
      </c>
      <c r="C21" s="12">
        <v>180000</v>
      </c>
      <c r="D21" s="7" t="s">
        <v>180</v>
      </c>
      <c r="E21" s="7" t="s">
        <v>173</v>
      </c>
      <c r="F21" s="18">
        <v>0.95</v>
      </c>
      <c r="G21" s="13">
        <f t="shared" si="0"/>
        <v>171000</v>
      </c>
      <c r="H21" s="34">
        <v>4</v>
      </c>
      <c r="I21" s="7" t="s">
        <v>160</v>
      </c>
    </row>
    <row r="22" spans="1:9" ht="13.9" x14ac:dyDescent="0.3">
      <c r="A22" s="6"/>
      <c r="B22" s="6" t="s">
        <v>181</v>
      </c>
      <c r="C22" s="10">
        <v>120000</v>
      </c>
      <c r="D22" s="6" t="s">
        <v>182</v>
      </c>
      <c r="E22" s="6" t="s">
        <v>168</v>
      </c>
      <c r="F22" s="15">
        <v>0.15</v>
      </c>
      <c r="G22" s="11">
        <f t="shared" si="0"/>
        <v>18000</v>
      </c>
      <c r="H22" s="33">
        <v>2</v>
      </c>
      <c r="I22" s="6" t="s">
        <v>169</v>
      </c>
    </row>
    <row r="25" spans="1:9" ht="30" customHeight="1" x14ac:dyDescent="0.3">
      <c r="A25" s="38" t="s">
        <v>183</v>
      </c>
      <c r="B25" s="36"/>
      <c r="C25" s="36"/>
      <c r="D25" s="36"/>
      <c r="E25" s="36"/>
      <c r="F25" s="36"/>
      <c r="G25" s="36"/>
      <c r="H25" s="36"/>
      <c r="I25" s="36"/>
    </row>
  </sheetData>
  <mergeCells count="3">
    <mergeCell ref="A25:I25"/>
    <mergeCell ref="A1:I1"/>
    <mergeCell ref="A2:I2"/>
  </mergeCells>
  <phoneticPr fontId="9" type="noConversion"/>
  <conditionalFormatting sqref="F8:F22">
    <cfRule type="cellIs" dxfId="3" priority="2" operator="greaterThanOrEqual">
      <formula>0.8</formula>
    </cfRule>
  </conditionalFormatting>
  <conditionalFormatting sqref="H8:H22">
    <cfRule type="cellIs" dxfId="2" priority="1" operator="greaterThan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workbookViewId="0">
      <pane ySplit="7" topLeftCell="A8" activePane="bottomLeft" state="frozen"/>
      <selection pane="bottomLeft" activeCell="G20" sqref="G20"/>
    </sheetView>
  </sheetViews>
  <sheetFormatPr defaultRowHeight="13.5" x14ac:dyDescent="0.3"/>
  <cols>
    <col min="1" max="1" width="4" customWidth="1"/>
    <col min="2" max="2" width="14" customWidth="1"/>
    <col min="3" max="3" width="12" customWidth="1"/>
    <col min="4" max="6" width="16" customWidth="1"/>
    <col min="7" max="7" width="14" customWidth="1"/>
    <col min="8" max="8" width="16" customWidth="1"/>
    <col min="9" max="9" width="14" customWidth="1"/>
    <col min="10" max="10" width="18" customWidth="1"/>
  </cols>
  <sheetData>
    <row r="1" spans="1:10" ht="57.4" customHeight="1" x14ac:dyDescent="0.3">
      <c r="A1" s="39" t="s">
        <v>184</v>
      </c>
      <c r="B1" s="39"/>
      <c r="C1" s="39"/>
      <c r="D1" s="39"/>
      <c r="E1" s="39"/>
      <c r="F1" s="39"/>
      <c r="G1" s="39"/>
      <c r="H1" s="39"/>
      <c r="I1" s="39"/>
    </row>
    <row r="2" spans="1:10" ht="27.75" customHeight="1" x14ac:dyDescent="0.3">
      <c r="A2" s="40" t="s">
        <v>185</v>
      </c>
      <c r="B2" s="40"/>
      <c r="C2" s="40"/>
      <c r="D2" s="40"/>
      <c r="E2" s="40"/>
      <c r="F2" s="40"/>
      <c r="G2" s="40"/>
      <c r="H2" s="40"/>
      <c r="I2" s="40"/>
    </row>
    <row r="4" spans="1:10" ht="24" customHeight="1" x14ac:dyDescent="0.3">
      <c r="B4" s="2" t="s">
        <v>186</v>
      </c>
      <c r="C4" s="30">
        <f>SUM(C8:C12)</f>
        <v>26</v>
      </c>
      <c r="D4" s="2" t="s">
        <v>187</v>
      </c>
      <c r="E4" s="8">
        <f>D13/C4</f>
        <v>464230.76923076925</v>
      </c>
      <c r="F4" s="2" t="s">
        <v>188</v>
      </c>
      <c r="G4" s="23">
        <f>E13/D13</f>
        <v>0.87075393537696766</v>
      </c>
      <c r="H4" s="2" t="s">
        <v>189</v>
      </c>
      <c r="I4" s="30">
        <f>ROUND(AVERAGE(H8:H12),0)</f>
        <v>71</v>
      </c>
      <c r="J4" s="24" t="str">
        <f>IF(I4&gt;60,"⚠️ 回款周期偏长","健康")</f>
        <v>⚠️ 回款周期偏长</v>
      </c>
    </row>
    <row r="7" spans="1:10" ht="26" customHeight="1" x14ac:dyDescent="0.3">
      <c r="A7" s="5"/>
      <c r="B7" s="5" t="s">
        <v>190</v>
      </c>
      <c r="C7" s="5" t="s">
        <v>191</v>
      </c>
      <c r="D7" s="5" t="s">
        <v>192</v>
      </c>
      <c r="E7" s="5" t="s">
        <v>193</v>
      </c>
      <c r="F7" s="5" t="s">
        <v>194</v>
      </c>
      <c r="G7" s="5" t="s">
        <v>43</v>
      </c>
      <c r="H7" s="5" t="s">
        <v>195</v>
      </c>
      <c r="I7" s="5" t="s">
        <v>196</v>
      </c>
      <c r="J7" s="5" t="s">
        <v>197</v>
      </c>
    </row>
    <row r="8" spans="1:10" ht="13.9" x14ac:dyDescent="0.3">
      <c r="A8" s="49"/>
      <c r="B8" s="49" t="s">
        <v>198</v>
      </c>
      <c r="C8" s="45">
        <v>8</v>
      </c>
      <c r="D8" s="50">
        <v>4260000</v>
      </c>
      <c r="E8" s="50">
        <v>3820000</v>
      </c>
      <c r="F8" s="43">
        <f t="shared" ref="F8:F13" si="0">E8/D8</f>
        <v>0.89671361502347413</v>
      </c>
      <c r="G8" s="50">
        <f t="shared" ref="G8:G13" si="1">D8/C8</f>
        <v>532500</v>
      </c>
      <c r="H8" s="45">
        <v>58</v>
      </c>
      <c r="I8" s="50">
        <v>320000</v>
      </c>
      <c r="J8" s="43">
        <f t="shared" ref="J8:J13" si="2">I8/D8</f>
        <v>7.5117370892018781E-2</v>
      </c>
    </row>
    <row r="9" spans="1:10" ht="13.9" x14ac:dyDescent="0.3">
      <c r="A9" s="51"/>
      <c r="B9" s="51" t="s">
        <v>199</v>
      </c>
      <c r="C9" s="46">
        <v>6</v>
      </c>
      <c r="D9" s="52">
        <v>3150000</v>
      </c>
      <c r="E9" s="52">
        <v>2640000</v>
      </c>
      <c r="F9" s="44">
        <f t="shared" si="0"/>
        <v>0.83809523809523812</v>
      </c>
      <c r="G9" s="52">
        <f t="shared" si="1"/>
        <v>525000</v>
      </c>
      <c r="H9" s="46">
        <v>72</v>
      </c>
      <c r="I9" s="52">
        <v>410000</v>
      </c>
      <c r="J9" s="44">
        <f t="shared" si="2"/>
        <v>0.13015873015873017</v>
      </c>
    </row>
    <row r="10" spans="1:10" ht="13.9" x14ac:dyDescent="0.3">
      <c r="A10" s="49"/>
      <c r="B10" s="49" t="s">
        <v>200</v>
      </c>
      <c r="C10" s="45">
        <v>5</v>
      </c>
      <c r="D10" s="50">
        <v>2380000</v>
      </c>
      <c r="E10" s="50">
        <v>2180000</v>
      </c>
      <c r="F10" s="43">
        <f t="shared" si="0"/>
        <v>0.91596638655462181</v>
      </c>
      <c r="G10" s="50">
        <f t="shared" si="1"/>
        <v>476000</v>
      </c>
      <c r="H10" s="45">
        <v>46</v>
      </c>
      <c r="I10" s="50">
        <v>145000</v>
      </c>
      <c r="J10" s="43">
        <f t="shared" si="2"/>
        <v>6.0924369747899158E-2</v>
      </c>
    </row>
    <row r="11" spans="1:10" ht="13.9" x14ac:dyDescent="0.3">
      <c r="A11" s="51"/>
      <c r="B11" s="51" t="s">
        <v>201</v>
      </c>
      <c r="C11" s="46">
        <v>4</v>
      </c>
      <c r="D11" s="52">
        <v>1420000</v>
      </c>
      <c r="E11" s="52">
        <v>1180000</v>
      </c>
      <c r="F11" s="44">
        <f t="shared" si="0"/>
        <v>0.83098591549295775</v>
      </c>
      <c r="G11" s="52">
        <f t="shared" si="1"/>
        <v>355000</v>
      </c>
      <c r="H11" s="46">
        <v>83</v>
      </c>
      <c r="I11" s="52">
        <v>268000</v>
      </c>
      <c r="J11" s="44">
        <f t="shared" si="2"/>
        <v>0.18873239436619718</v>
      </c>
    </row>
    <row r="12" spans="1:10" ht="13.9" x14ac:dyDescent="0.3">
      <c r="A12" s="49"/>
      <c r="B12" s="49" t="s">
        <v>202</v>
      </c>
      <c r="C12" s="45">
        <v>3</v>
      </c>
      <c r="D12" s="50">
        <v>860000</v>
      </c>
      <c r="E12" s="50">
        <v>690000</v>
      </c>
      <c r="F12" s="43">
        <f t="shared" si="0"/>
        <v>0.80232558139534882</v>
      </c>
      <c r="G12" s="50">
        <f t="shared" si="1"/>
        <v>286666.66666666669</v>
      </c>
      <c r="H12" s="45">
        <v>95</v>
      </c>
      <c r="I12" s="50">
        <v>224000</v>
      </c>
      <c r="J12" s="43">
        <f t="shared" si="2"/>
        <v>0.26046511627906976</v>
      </c>
    </row>
    <row r="13" spans="1:10" ht="14.65" x14ac:dyDescent="0.3">
      <c r="A13" s="53"/>
      <c r="B13" s="53" t="s">
        <v>85</v>
      </c>
      <c r="C13" s="47">
        <f>SUM(C8:C12)</f>
        <v>26</v>
      </c>
      <c r="D13" s="54">
        <f>SUM(D8:D12)</f>
        <v>12070000</v>
      </c>
      <c r="E13" s="54">
        <f>SUM(E8:E12)</f>
        <v>10510000</v>
      </c>
      <c r="F13" s="48">
        <f t="shared" si="0"/>
        <v>0.87075393537696766</v>
      </c>
      <c r="G13" s="54">
        <f t="shared" si="1"/>
        <v>464230.76923076925</v>
      </c>
      <c r="H13" s="47">
        <f>ROUND(AVERAGE(H8:H12),0)</f>
        <v>71</v>
      </c>
      <c r="I13" s="54">
        <f>SUM(I8:I12)</f>
        <v>1367000</v>
      </c>
      <c r="J13" s="48">
        <f t="shared" si="2"/>
        <v>0.11325600662800331</v>
      </c>
    </row>
    <row r="15" spans="1:10" ht="30" customHeight="1" x14ac:dyDescent="0.3">
      <c r="A15" s="38" t="s">
        <v>203</v>
      </c>
      <c r="B15" s="36"/>
      <c r="C15" s="36"/>
      <c r="D15" s="36"/>
      <c r="E15" s="36"/>
      <c r="F15" s="36"/>
      <c r="G15" s="36"/>
      <c r="H15" s="36"/>
      <c r="I15" s="36"/>
      <c r="J15" s="36"/>
    </row>
  </sheetData>
  <mergeCells count="3">
    <mergeCell ref="A15:J15"/>
    <mergeCell ref="A1:I1"/>
    <mergeCell ref="A2:I2"/>
  </mergeCells>
  <phoneticPr fontId="9" type="noConversion"/>
  <conditionalFormatting sqref="F8:F12">
    <cfRule type="cellIs" dxfId="1" priority="2" operator="lessThan">
      <formula>0.85</formula>
    </cfRule>
  </conditionalFormatting>
  <conditionalFormatting sqref="H8:H12">
    <cfRule type="cellIs" dxfId="0" priority="1" operator="greaterThan">
      <formula>75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3"/>
  <sheetViews>
    <sheetView showGridLines="0" topLeftCell="A5" workbookViewId="0">
      <selection activeCell="H24" sqref="H24"/>
    </sheetView>
  </sheetViews>
  <sheetFormatPr defaultRowHeight="13.5" x14ac:dyDescent="0.3"/>
  <cols>
    <col min="1" max="1" width="4" customWidth="1"/>
    <col min="2" max="2" width="10" customWidth="1"/>
    <col min="3" max="3" width="53.33203125" customWidth="1"/>
    <col min="4" max="4" width="34" customWidth="1"/>
    <col min="5" max="5" width="18" customWidth="1"/>
    <col min="6" max="6" width="14" customWidth="1"/>
  </cols>
  <sheetData>
    <row r="1" spans="1:9" ht="43.15" customHeight="1" x14ac:dyDescent="0.3">
      <c r="A1" s="39" t="s">
        <v>204</v>
      </c>
      <c r="B1" s="39"/>
      <c r="C1" s="39"/>
      <c r="D1" s="39"/>
      <c r="E1" s="39"/>
      <c r="F1" s="39"/>
      <c r="G1" s="39"/>
      <c r="H1" s="39"/>
      <c r="I1" s="39"/>
    </row>
    <row r="2" spans="1:9" ht="22.9" customHeight="1" x14ac:dyDescent="0.3">
      <c r="A2" s="40" t="s">
        <v>205</v>
      </c>
      <c r="B2" s="40"/>
      <c r="C2" s="40"/>
      <c r="D2" s="40"/>
      <c r="E2" s="40"/>
      <c r="F2" s="40"/>
      <c r="G2" s="40"/>
      <c r="H2" s="40"/>
      <c r="I2" s="40"/>
    </row>
    <row r="4" spans="1:9" ht="26" customHeight="1" x14ac:dyDescent="0.3">
      <c r="A4" s="5"/>
      <c r="B4" s="5" t="s">
        <v>206</v>
      </c>
      <c r="C4" s="5" t="s">
        <v>207</v>
      </c>
      <c r="D4" s="5" t="s">
        <v>208</v>
      </c>
      <c r="E4" s="5" t="s">
        <v>209</v>
      </c>
      <c r="F4" s="5" t="s">
        <v>210</v>
      </c>
    </row>
    <row r="5" spans="1:9" ht="24" customHeight="1" x14ac:dyDescent="0.3">
      <c r="A5" s="6"/>
      <c r="B5" s="6" t="s">
        <v>211</v>
      </c>
      <c r="C5" s="3" t="s">
        <v>212</v>
      </c>
      <c r="D5" s="3" t="s">
        <v>213</v>
      </c>
      <c r="E5" s="6" t="s">
        <v>214</v>
      </c>
      <c r="F5" s="6"/>
    </row>
    <row r="6" spans="1:9" ht="24" customHeight="1" x14ac:dyDescent="0.3">
      <c r="A6" s="6"/>
      <c r="B6" s="6"/>
      <c r="C6" s="3" t="s">
        <v>215</v>
      </c>
      <c r="D6" s="3"/>
      <c r="E6" s="6"/>
      <c r="F6" s="6"/>
    </row>
    <row r="7" spans="1:9" ht="24" customHeight="1" x14ac:dyDescent="0.3">
      <c r="A7" s="6"/>
      <c r="B7" s="6"/>
      <c r="C7" s="3" t="s">
        <v>216</v>
      </c>
      <c r="D7" s="3"/>
      <c r="E7" s="6"/>
      <c r="F7" s="6"/>
    </row>
    <row r="8" spans="1:9" ht="24" customHeight="1" x14ac:dyDescent="0.3">
      <c r="A8" s="6"/>
      <c r="B8" s="6" t="s">
        <v>217</v>
      </c>
      <c r="C8" s="3" t="s">
        <v>218</v>
      </c>
      <c r="D8" s="3" t="s">
        <v>219</v>
      </c>
      <c r="E8" s="6" t="s">
        <v>214</v>
      </c>
      <c r="F8" s="6"/>
    </row>
    <row r="9" spans="1:9" ht="24" customHeight="1" x14ac:dyDescent="0.3">
      <c r="A9" s="6"/>
      <c r="B9" s="6"/>
      <c r="C9" s="3" t="s">
        <v>220</v>
      </c>
      <c r="D9" s="3"/>
      <c r="E9" s="6"/>
      <c r="F9" s="6"/>
    </row>
    <row r="10" spans="1:9" ht="24" customHeight="1" x14ac:dyDescent="0.3">
      <c r="A10" s="6"/>
      <c r="B10" s="6"/>
      <c r="C10" s="3" t="s">
        <v>221</v>
      </c>
      <c r="D10" s="3"/>
      <c r="E10" s="6"/>
      <c r="F10" s="6"/>
    </row>
    <row r="11" spans="1:9" ht="24" customHeight="1" x14ac:dyDescent="0.3">
      <c r="A11" s="6"/>
      <c r="B11" s="6" t="s">
        <v>222</v>
      </c>
      <c r="C11" s="3" t="s">
        <v>223</v>
      </c>
      <c r="D11" s="3" t="s">
        <v>224</v>
      </c>
      <c r="E11" s="6" t="s">
        <v>214</v>
      </c>
      <c r="F11" s="6"/>
    </row>
    <row r="12" spans="1:9" ht="24" customHeight="1" x14ac:dyDescent="0.3">
      <c r="A12" s="6"/>
      <c r="B12" s="6"/>
      <c r="C12" s="3" t="s">
        <v>225</v>
      </c>
      <c r="D12" s="3"/>
      <c r="E12" s="6"/>
      <c r="F12" s="6"/>
    </row>
    <row r="13" spans="1:9" ht="24" customHeight="1" x14ac:dyDescent="0.3">
      <c r="A13" s="6"/>
      <c r="B13" s="6"/>
      <c r="C13" s="3" t="s">
        <v>226</v>
      </c>
      <c r="D13" s="3"/>
      <c r="E13" s="6"/>
      <c r="F13" s="6"/>
    </row>
    <row r="14" spans="1:9" ht="24" customHeight="1" x14ac:dyDescent="0.3">
      <c r="A14" s="6"/>
      <c r="B14" s="6" t="s">
        <v>227</v>
      </c>
      <c r="C14" s="3" t="s">
        <v>228</v>
      </c>
      <c r="D14" s="3" t="s">
        <v>229</v>
      </c>
      <c r="E14" s="6" t="s">
        <v>214</v>
      </c>
      <c r="F14" s="6"/>
    </row>
    <row r="15" spans="1:9" ht="24" customHeight="1" x14ac:dyDescent="0.3">
      <c r="A15" s="6"/>
      <c r="B15" s="6"/>
      <c r="C15" s="3" t="s">
        <v>230</v>
      </c>
      <c r="D15" s="3"/>
      <c r="E15" s="6"/>
      <c r="F15" s="6"/>
    </row>
    <row r="16" spans="1:9" ht="24" customHeight="1" x14ac:dyDescent="0.3">
      <c r="A16" s="6"/>
      <c r="B16" s="6"/>
      <c r="C16" s="3" t="s">
        <v>231</v>
      </c>
      <c r="D16" s="3"/>
      <c r="E16" s="6"/>
      <c r="F16" s="6"/>
    </row>
    <row r="18" spans="1:6" ht="31.5" customHeight="1" x14ac:dyDescent="0.3">
      <c r="A18" s="41" t="s">
        <v>232</v>
      </c>
      <c r="B18" s="41"/>
      <c r="C18" s="41"/>
      <c r="D18" s="41"/>
      <c r="E18" s="41"/>
      <c r="F18" s="41"/>
    </row>
    <row r="19" spans="1:6" ht="22.05" customHeight="1" x14ac:dyDescent="0.3">
      <c r="B19" s="35" t="s">
        <v>233</v>
      </c>
      <c r="C19" s="36"/>
      <c r="D19" s="36"/>
      <c r="E19" s="36"/>
      <c r="F19" s="36"/>
    </row>
    <row r="20" spans="1:6" ht="22.05" customHeight="1" x14ac:dyDescent="0.3">
      <c r="B20" s="35" t="s">
        <v>234</v>
      </c>
      <c r="C20" s="36"/>
      <c r="D20" s="36"/>
      <c r="E20" s="36"/>
      <c r="F20" s="36"/>
    </row>
    <row r="21" spans="1:6" ht="22.05" customHeight="1" x14ac:dyDescent="0.3">
      <c r="B21" s="35" t="s">
        <v>235</v>
      </c>
      <c r="C21" s="36"/>
      <c r="D21" s="36"/>
      <c r="E21" s="36"/>
      <c r="F21" s="36"/>
    </row>
    <row r="23" spans="1:6" x14ac:dyDescent="0.3">
      <c r="B23" s="37" t="s">
        <v>236</v>
      </c>
      <c r="C23" s="36"/>
      <c r="D23" s="36"/>
      <c r="E23" s="36"/>
      <c r="F23" s="36"/>
    </row>
  </sheetData>
  <mergeCells count="7">
    <mergeCell ref="B21:F21"/>
    <mergeCell ref="B20:F20"/>
    <mergeCell ref="B23:F23"/>
    <mergeCell ref="B19:F19"/>
    <mergeCell ref="A1:I1"/>
    <mergeCell ref="A2:I2"/>
    <mergeCell ref="A18:F18"/>
  </mergeCells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0-指标口径定义表</vt:lpstr>
      <vt:lpstr>①现金表</vt:lpstr>
      <vt:lpstr>②收入结构表</vt:lpstr>
      <vt:lpstr>③项目盈亏表</vt:lpstr>
      <vt:lpstr>④漏斗与预测表</vt:lpstr>
      <vt:lpstr>⑤人效与回款表</vt:lpstr>
      <vt:lpstr>⑥30天行动卡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272702947@qq.com</cp:lastModifiedBy>
  <dcterms:created xsi:type="dcterms:W3CDTF">2026-09-08T23:27:11Z</dcterms:created>
  <dcterms:modified xsi:type="dcterms:W3CDTF">2026-09-09T21:21:48Z</dcterms:modified>
</cp:coreProperties>
</file>