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0-指标口径定义表" sheetId="2" state="visible" r:id="rId2"/>
    <sheet xmlns:r="http://schemas.openxmlformats.org/officeDocument/2006/relationships" name="①现金表" sheetId="3" state="visible" r:id="rId3"/>
    <sheet xmlns:r="http://schemas.openxmlformats.org/officeDocument/2006/relationships" name="②收入结构表" sheetId="4" state="visible" r:id="rId4"/>
    <sheet xmlns:r="http://schemas.openxmlformats.org/officeDocument/2006/relationships" name="③项目盈亏表" sheetId="5" state="visible" r:id="rId5"/>
    <sheet xmlns:r="http://schemas.openxmlformats.org/officeDocument/2006/relationships" name="④漏斗与预测表" sheetId="6" state="visible" r:id="rId6"/>
    <sheet xmlns:r="http://schemas.openxmlformats.org/officeDocument/2006/relationships" name="⑤人效与回款表" sheetId="7" state="visible" r:id="rId7"/>
    <sheet xmlns:r="http://schemas.openxmlformats.org/officeDocument/2006/relationships" name="⑥30天行动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9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color rgb="006B7280"/>
      <sz val="9"/>
    </font>
    <font>
      <name val="微软雅黑"/>
      <b val="1"/>
      <color rgb="001F2937"/>
      <sz val="10"/>
    </font>
    <font>
      <name val="微软雅黑"/>
      <color rgb="001F2937"/>
      <sz val="10"/>
    </font>
    <font>
      <name val="微软雅黑"/>
      <b val="1"/>
      <color rgb="001E5FA8"/>
      <sz val="11"/>
    </font>
    <font>
      <name val="微软雅黑"/>
      <b val="1"/>
      <color rgb="00FFFFFF"/>
      <sz val="10"/>
    </font>
    <font>
      <name val="微软雅黑"/>
      <i val="1"/>
      <color rgb="006B7280"/>
      <sz val="9"/>
    </font>
    <font>
      <name val="微软雅黑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EAF1FA"/>
      </patternFill>
    </fill>
    <fill>
      <patternFill patternType="solid">
        <fgColor rgb="001E5FA8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D5DDE7"/>
      </left>
      <right style="thin">
        <color rgb="00D5DDE7"/>
      </right>
      <top style="thin">
        <color rgb="00D5DDE7"/>
      </top>
      <bottom style="thin">
        <color rgb="00D5DD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3" fontId="5" fillId="2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0" pivotButton="0" quotePrefix="0" xfId="0"/>
    <xf numFmtId="164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4" fontId="5" fillId="2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" fontId="5" fillId="2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6">
    <dxf>
      <font>
        <name val="微软雅黑"/>
        <color rgb="00C0392B"/>
        <sz val="10"/>
      </font>
      <fill>
        <patternFill patternType="solid">
          <fgColor rgb="00FDECEA"/>
        </patternFill>
      </fill>
    </dxf>
    <dxf>
      <font>
        <name val="微软雅黑"/>
        <b val="1"/>
        <color rgb="00C0392B"/>
        <sz val="10"/>
      </font>
      <fill>
        <patternFill patternType="solid">
          <fgColor rgb="00FDECEA"/>
        </patternFill>
      </fill>
    </dxf>
    <dxf>
      <font>
        <name val="微软雅黑"/>
        <b val="1"/>
        <color rgb="00C0392B"/>
        <sz val="10"/>
      </font>
    </dxf>
    <dxf>
      <font>
        <name val="微软雅黑"/>
        <color rgb="001E8E5A"/>
        <sz val="10"/>
      </font>
    </dxf>
    <dxf>
      <font>
        <name val="微软雅黑"/>
        <b val="1"/>
        <color rgb="001E8E5A"/>
        <sz val="10"/>
      </font>
    </dxf>
    <dxf>
      <font>
        <name val="微软雅黑"/>
        <b val="1"/>
        <color rgb="00B7791F"/>
        <sz val="10"/>
      </font>
      <fill>
        <patternFill patternType="solid">
          <fgColor rgb="00FEF6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6" customWidth="1" min="3" max="3"/>
  </cols>
  <sheetData>
    <row r="2">
      <c r="B2" s="1" t="inlineStr">
        <is>
          <t>《经营五表》指标口径模板 · 配套 Excel</t>
        </is>
      </c>
    </row>
    <row r="3">
      <c r="B3" s="2" t="inlineStr">
        <is>
          <t>《AI + 经营分析：让老板 5 分钟看懂经营真相》3 小时企业内训 · 课堂实操物料</t>
        </is>
      </c>
    </row>
    <row r="4">
      <c r="B4" s="2" t="inlineStr">
        <is>
          <t>示例数据均为脱敏虚构（客户 A/B/C、华东/华南、PRJ-001…），请替换为贵司真实数据</t>
        </is>
      </c>
    </row>
    <row r="6">
      <c r="B6" s="3" t="inlineStr">
        <is>
          <t>本文件包含</t>
        </is>
      </c>
      <c r="C6" s="3" t="inlineStr">
        <is>
          <t>用途与关键动作</t>
        </is>
      </c>
    </row>
    <row r="7" ht="30" customHeight="1">
      <c r="B7" s="4" t="inlineStr">
        <is>
          <t>表①现金表</t>
        </is>
      </c>
      <c r="C7" s="5" t="inlineStr">
        <is>
          <t>回答：还能撑几个月。看"可支撑月数"与"应收账款账龄"，不是看账上有多少钱，是看能回来的钱。</t>
        </is>
      </c>
    </row>
    <row r="8" ht="30" customHeight="1">
      <c r="B8" s="4" t="inlineStr">
        <is>
          <t>表②收入结构表</t>
        </is>
      </c>
      <c r="C8" s="5" t="inlineStr">
        <is>
          <t>回答：钱从哪来。按客户 / 产品 / 区域三个维度拆，盯住"前 20% 客户贡献占比"和"单一客户占比"。</t>
        </is>
      </c>
    </row>
    <row r="9" ht="30" customHeight="1">
      <c r="B9" s="4" t="inlineStr">
        <is>
          <t>表③项目盈亏表</t>
        </is>
      </c>
      <c r="C9" s="5" t="inlineStr">
        <is>
          <t>回答：哪个生意真的赚钱。算清毛利率底线，低于底线的单子做得越大亏得越多。</t>
        </is>
      </c>
    </row>
    <row r="10" ht="30" customHeight="1">
      <c r="B10" s="4" t="inlineStr">
        <is>
          <t>表④漏斗与预测表</t>
        </is>
      </c>
      <c r="C10" s="5" t="inlineStr">
        <is>
          <t>回答：下季度能收多少。给每个商机打中标概率分，用概率加权，不要拍脑袋。</t>
        </is>
      </c>
    </row>
    <row r="11" ht="30" customHeight="1">
      <c r="B11" s="4" t="inlineStr">
        <is>
          <t>表⑤人效与回款表</t>
        </is>
      </c>
      <c r="C11" s="5" t="inlineStr">
        <is>
          <t>回答：钱收得回来吗、人用得值吗。人均营收 + 回款周期（DSO）+ 逾期占比。</t>
        </is>
      </c>
    </row>
    <row r="12" ht="30" customHeight="1">
      <c r="B12" s="4" t="inlineStr">
        <is>
          <t>指标口径定义表</t>
        </is>
      </c>
      <c r="C12" s="5" t="inlineStr">
        <is>
          <t>空白版，课堂上现场填。这是最重要的一张——口径不统一，后面四张全是错的。</t>
        </is>
      </c>
    </row>
    <row r="13" ht="30" customHeight="1">
      <c r="B13" s="4" t="inlineStr">
        <is>
          <t>30 天行动卡</t>
        </is>
      </c>
      <c r="C13" s="5" t="inlineStr">
        <is>
          <t>每人带走一张。第 1 周定口径，第 2 周做两表，第 3 周加预测，第 4 周落一个 AI 场景。</t>
        </is>
      </c>
    </row>
    <row r="15">
      <c r="B15" s="6" t="inlineStr">
        <is>
          <t>🔴 使用顺序（不要跳步）</t>
        </is>
      </c>
    </row>
    <row r="16" ht="22" customHeight="1">
      <c r="B16" s="7" t="inlineStr">
        <is>
          <t>1. 先填「指标口径定义表」——把"销售额"到底按签约算还是按回款算，写死，全公司发一次。</t>
        </is>
      </c>
    </row>
    <row r="17" ht="22" customHeight="1">
      <c r="B17" s="7" t="inlineStr">
        <is>
          <t>2. 再做「表①现金表」——只需要两个数：账上现金、月均净流出。10 分钟能做完。</t>
        </is>
      </c>
    </row>
    <row r="18" ht="22" customHeight="1">
      <c r="B18" s="7" t="inlineStr">
        <is>
          <t>3. 做「表②收入结构表」——把客户按收入从大到小排，算出前 20% 贡献多少。</t>
        </is>
      </c>
    </row>
    <row r="19" ht="22" customHeight="1">
      <c r="B19" s="7" t="inlineStr">
        <is>
          <t>4. 做出来你会发现，第 3、4、5 张表自己就长出来了。</t>
        </is>
      </c>
    </row>
    <row r="20" ht="22" customHeight="1">
      <c r="B20" s="7" t="inlineStr">
        <is>
          <t>5. 全部做完再上 AI。口径没统一之前上 AI，只会让你更快地得到三个不一样的答案。</t>
        </is>
      </c>
    </row>
    <row r="22">
      <c r="B22" s="8" t="inlineStr">
        <is>
          <t>王宏杰 ｜ 19 年 B 端政企业务实战 · 英国利兹 MBA 商业体系 · 数据分析与大模型开发系统训练</t>
        </is>
      </c>
    </row>
  </sheetData>
  <mergeCells count="9">
    <mergeCell ref="B16:C16"/>
    <mergeCell ref="B2:C2"/>
    <mergeCell ref="B3:C3"/>
    <mergeCell ref="B19:C19"/>
    <mergeCell ref="B20:C20"/>
    <mergeCell ref="B22:C22"/>
    <mergeCell ref="B17:C17"/>
    <mergeCell ref="B18:C1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4" customWidth="1" min="3" max="3"/>
    <col width="34" customWidth="1" min="4" max="4"/>
    <col width="16" customWidth="1" min="5" max="5"/>
    <col width="14" customWidth="1" min="6" max="6"/>
    <col width="12" customWidth="1" min="7" max="7"/>
    <col width="26" customWidth="1" min="8" max="8"/>
  </cols>
  <sheetData>
    <row r="1">
      <c r="A1" s="1" t="inlineStr">
        <is>
          <t>指标口径定义表（课堂现场填写 · 全公司统一以此为准）</t>
        </is>
      </c>
    </row>
    <row r="2">
      <c r="A2" s="2" t="inlineStr">
        <is>
          <t>口诀：一个指标 = 一个定义 + 一个公式 + 一个数据源 + 一个责任人。四样缺一，这个指标迟早会打架。</t>
        </is>
      </c>
    </row>
    <row r="4" ht="26" customHeight="1">
      <c r="A4" s="9" t="inlineStr"/>
      <c r="B4" s="9" t="inlineStr">
        <is>
          <t>指标名称</t>
        </is>
      </c>
      <c r="C4" s="9" t="inlineStr">
        <is>
          <t>业务定义（人话）</t>
        </is>
      </c>
      <c r="D4" s="9" t="inlineStr">
        <is>
          <t>计算口径（公式）</t>
        </is>
      </c>
      <c r="E4" s="9" t="inlineStr">
        <is>
          <t>数据源系统</t>
        </is>
      </c>
      <c r="F4" s="9" t="inlineStr">
        <is>
          <t>归口部门</t>
        </is>
      </c>
      <c r="G4" s="9" t="inlineStr">
        <is>
          <t>当前是否统一</t>
        </is>
      </c>
      <c r="H4" s="9" t="inlineStr">
        <is>
          <t>待解决的问题 / 分歧点</t>
        </is>
      </c>
    </row>
    <row r="5" ht="30" customHeight="1">
      <c r="A5" s="10" t="inlineStr"/>
      <c r="B5" s="10" t="inlineStr">
        <is>
          <t>销售额</t>
        </is>
      </c>
      <c r="C5" s="10" t="inlineStr"/>
      <c r="D5" s="10" t="inlineStr"/>
      <c r="E5" s="10" t="inlineStr"/>
      <c r="F5" s="10" t="inlineStr"/>
      <c r="G5" s="10" t="inlineStr"/>
      <c r="H5" s="10" t="inlineStr"/>
    </row>
    <row r="6" ht="30" customHeight="1">
      <c r="A6" s="11" t="inlineStr"/>
      <c r="B6" s="11" t="inlineStr">
        <is>
          <t>回款额</t>
        </is>
      </c>
      <c r="C6" s="11" t="inlineStr"/>
      <c r="D6" s="11" t="inlineStr"/>
      <c r="E6" s="11" t="inlineStr"/>
      <c r="F6" s="11" t="inlineStr"/>
      <c r="G6" s="11" t="inlineStr"/>
      <c r="H6" s="11" t="inlineStr"/>
    </row>
    <row r="7" ht="30" customHeight="1">
      <c r="A7" s="10" t="inlineStr"/>
      <c r="B7" s="10" t="inlineStr">
        <is>
          <t>毛利率</t>
        </is>
      </c>
      <c r="C7" s="10" t="inlineStr"/>
      <c r="D7" s="10" t="inlineStr"/>
      <c r="E7" s="10" t="inlineStr"/>
      <c r="F7" s="10" t="inlineStr"/>
      <c r="G7" s="10" t="inlineStr"/>
      <c r="H7" s="10" t="inlineStr"/>
    </row>
    <row r="8" ht="30" customHeight="1">
      <c r="A8" s="11" t="inlineStr"/>
      <c r="B8" s="11" t="inlineStr">
        <is>
          <t>新增商机数</t>
        </is>
      </c>
      <c r="C8" s="11" t="inlineStr"/>
      <c r="D8" s="11" t="inlineStr"/>
      <c r="E8" s="11" t="inlineStr"/>
      <c r="F8" s="11" t="inlineStr"/>
      <c r="G8" s="11" t="inlineStr"/>
      <c r="H8" s="11" t="inlineStr"/>
    </row>
    <row r="9" ht="30" customHeight="1">
      <c r="A9" s="10" t="inlineStr"/>
      <c r="B9" s="10" t="inlineStr">
        <is>
          <t>商机金额</t>
        </is>
      </c>
      <c r="C9" s="10" t="inlineStr"/>
      <c r="D9" s="10" t="inlineStr"/>
      <c r="E9" s="10" t="inlineStr"/>
      <c r="F9" s="10" t="inlineStr"/>
      <c r="G9" s="10" t="inlineStr"/>
      <c r="H9" s="10" t="inlineStr"/>
    </row>
    <row r="10" ht="30" customHeight="1">
      <c r="A10" s="11" t="inlineStr"/>
      <c r="B10" s="11" t="inlineStr">
        <is>
          <t>中标率</t>
        </is>
      </c>
      <c r="C10" s="11" t="inlineStr"/>
      <c r="D10" s="11" t="inlineStr"/>
      <c r="E10" s="11" t="inlineStr"/>
      <c r="F10" s="11" t="inlineStr"/>
      <c r="G10" s="11" t="inlineStr"/>
      <c r="H10" s="11" t="inlineStr"/>
    </row>
    <row r="11" ht="30" customHeight="1">
      <c r="A11" s="10" t="inlineStr"/>
      <c r="B11" s="10" t="inlineStr">
        <is>
          <t>活跃客户数</t>
        </is>
      </c>
      <c r="C11" s="10" t="inlineStr"/>
      <c r="D11" s="10" t="inlineStr"/>
      <c r="E11" s="10" t="inlineStr"/>
      <c r="F11" s="10" t="inlineStr"/>
      <c r="G11" s="10" t="inlineStr"/>
      <c r="H11" s="10" t="inlineStr"/>
    </row>
    <row r="12" ht="30" customHeight="1">
      <c r="A12" s="11" t="inlineStr"/>
      <c r="B12" s="11" t="inlineStr">
        <is>
          <t>应收账款</t>
        </is>
      </c>
      <c r="C12" s="11" t="inlineStr"/>
      <c r="D12" s="11" t="inlineStr"/>
      <c r="E12" s="11" t="inlineStr"/>
      <c r="F12" s="11" t="inlineStr"/>
      <c r="G12" s="11" t="inlineStr"/>
      <c r="H12" s="11" t="inlineStr"/>
    </row>
    <row r="13" ht="30" customHeight="1">
      <c r="A13" s="10" t="inlineStr"/>
      <c r="B13" s="10" t="inlineStr">
        <is>
          <t>回款周期 DSO</t>
        </is>
      </c>
      <c r="C13" s="10" t="inlineStr"/>
      <c r="D13" s="10" t="inlineStr"/>
      <c r="E13" s="10" t="inlineStr"/>
      <c r="F13" s="10" t="inlineStr"/>
      <c r="G13" s="10" t="inlineStr"/>
      <c r="H13" s="10" t="inlineStr"/>
    </row>
    <row r="14" ht="30" customHeight="1">
      <c r="A14" s="11" t="inlineStr"/>
      <c r="B14" s="11" t="inlineStr">
        <is>
          <t>人均营收</t>
        </is>
      </c>
      <c r="C14" s="11" t="inlineStr"/>
      <c r="D14" s="11" t="inlineStr"/>
      <c r="E14" s="11" t="inlineStr"/>
      <c r="F14" s="11" t="inlineStr"/>
      <c r="G14" s="11" t="inlineStr"/>
      <c r="H14" s="11" t="inlineStr"/>
    </row>
    <row r="16" ht="36" customHeight="1">
      <c r="A16" s="12" t="inlineStr">
        <is>
          <t>⚠️ 这张表填完必须打印签字、全公司发一次。没有这一步，后面的表做出来也是三个版本。</t>
        </is>
      </c>
    </row>
  </sheetData>
  <mergeCells count="3">
    <mergeCell ref="A2:H2"/>
    <mergeCell ref="A16:H16"/>
    <mergeCell ref="A1:H1"/>
  </mergeCells>
  <dataValidations count="1">
    <dataValidation sqref="G5:G14" showDropDown="0" showInputMessage="0" showErrorMessage="0" allowBlank="1" type="list">
      <formula1>"已统一,未统一,有争议"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2" customWidth="1" min="9" max="9"/>
  </cols>
  <sheetData>
    <row r="1">
      <c r="A1" s="1" t="inlineStr">
        <is>
          <t>表① 现金表 —— 还能撑几个月</t>
        </is>
      </c>
    </row>
    <row r="2">
      <c r="A2" s="2" t="inlineStr">
        <is>
          <t>利润表是观点，现金流量表是事实。看现金不是看"账上有多少钱"，是看"能回来的钱"。</t>
        </is>
      </c>
    </row>
    <row r="4" ht="24" customHeight="1">
      <c r="B4" s="4" t="inlineStr">
        <is>
          <t>期初现金余额（元 · 2026-01）</t>
        </is>
      </c>
      <c r="C4" s="13" t="n">
        <v>1850000</v>
      </c>
      <c r="D4" s="4" t="inlineStr">
        <is>
          <t>期末现金余额（2026-12）</t>
        </is>
      </c>
      <c r="E4" s="13">
        <f>C4+SUM(E8:E19)</f>
        <v/>
      </c>
      <c r="F4" s="4" t="inlineStr">
        <is>
          <t>近 3 月平均净流出（10-12 月）</t>
        </is>
      </c>
      <c r="G4" s="13">
        <f>-AVERAGE(E17:E19)</f>
        <v/>
      </c>
      <c r="H4" s="4" t="inlineStr">
        <is>
          <t>可支撑月数</t>
        </is>
      </c>
      <c r="I4" s="14">
        <f>IF(G4&lt;=0,"净流入，安全",ROUND(E4/G4,1)&amp;" 个月")</f>
        <v/>
      </c>
    </row>
    <row r="7" ht="26" customHeight="1">
      <c r="A7" s="9" t="inlineStr"/>
      <c r="B7" s="9" t="inlineStr">
        <is>
          <t>月份</t>
        </is>
      </c>
      <c r="C7" s="9" t="inlineStr">
        <is>
          <t>经营流入</t>
        </is>
      </c>
      <c r="D7" s="9" t="inlineStr">
        <is>
          <t>经营流出</t>
        </is>
      </c>
      <c r="E7" s="9" t="inlineStr">
        <is>
          <t>净现金流</t>
        </is>
      </c>
      <c r="F7" s="9" t="inlineStr">
        <is>
          <t>累计现金</t>
        </is>
      </c>
      <c r="G7" s="9" t="inlineStr"/>
      <c r="H7" s="9" t="inlineStr">
        <is>
          <t>备注</t>
        </is>
      </c>
      <c r="I7" s="9" t="inlineStr"/>
    </row>
    <row r="8">
      <c r="A8" s="10" t="inlineStr"/>
      <c r="B8" s="10" t="inlineStr">
        <is>
          <t>2026-01</t>
        </is>
      </c>
      <c r="C8" s="15" t="n">
        <v>1420000</v>
      </c>
      <c r="D8" s="15" t="n">
        <v>1280000</v>
      </c>
      <c r="E8" s="16">
        <f>C8-D8</f>
        <v/>
      </c>
      <c r="F8" s="16">
        <f>IF(ROW()=8,$C$4,F7)+E8</f>
        <v/>
      </c>
    </row>
    <row r="9">
      <c r="A9" s="11" t="inlineStr"/>
      <c r="B9" s="11" t="inlineStr">
        <is>
          <t>2026-02</t>
        </is>
      </c>
      <c r="C9" s="17" t="n">
        <v>1180000</v>
      </c>
      <c r="D9" s="17" t="n">
        <v>1340000</v>
      </c>
      <c r="E9" s="18">
        <f>C9-D9</f>
        <v/>
      </c>
      <c r="F9" s="18">
        <f>IF(ROW()=8,$C$4,F8)+E9</f>
        <v/>
      </c>
    </row>
    <row r="10">
      <c r="A10" s="10" t="inlineStr"/>
      <c r="B10" s="10" t="inlineStr">
        <is>
          <t>2026-03</t>
        </is>
      </c>
      <c r="C10" s="15" t="n">
        <v>1650000</v>
      </c>
      <c r="D10" s="15" t="n">
        <v>1290000</v>
      </c>
      <c r="E10" s="16">
        <f>C10-D10</f>
        <v/>
      </c>
      <c r="F10" s="16">
        <f>IF(ROW()=8,$C$4,F9)+E10</f>
        <v/>
      </c>
    </row>
    <row r="11">
      <c r="A11" s="11" t="inlineStr"/>
      <c r="B11" s="11" t="inlineStr">
        <is>
          <t>2026-04</t>
        </is>
      </c>
      <c r="C11" s="17" t="n">
        <v>1310000</v>
      </c>
      <c r="D11" s="17" t="n">
        <v>1420000</v>
      </c>
      <c r="E11" s="18">
        <f>C11-D11</f>
        <v/>
      </c>
      <c r="F11" s="18">
        <f>IF(ROW()=8,$C$4,F10)+E11</f>
        <v/>
      </c>
    </row>
    <row r="12">
      <c r="A12" s="10" t="inlineStr"/>
      <c r="B12" s="10" t="inlineStr">
        <is>
          <t>2026-05</t>
        </is>
      </c>
      <c r="C12" s="15" t="n">
        <v>1480000</v>
      </c>
      <c r="D12" s="15" t="n">
        <v>1310000</v>
      </c>
      <c r="E12" s="16">
        <f>C12-D12</f>
        <v/>
      </c>
      <c r="F12" s="16">
        <f>IF(ROW()=8,$C$4,F11)+E12</f>
        <v/>
      </c>
    </row>
    <row r="13">
      <c r="A13" s="11" t="inlineStr"/>
      <c r="B13" s="11" t="inlineStr">
        <is>
          <t>2026-06</t>
        </is>
      </c>
      <c r="C13" s="17" t="n">
        <v>1720000</v>
      </c>
      <c r="D13" s="17" t="n">
        <v>1380000</v>
      </c>
      <c r="E13" s="18">
        <f>C13-D13</f>
        <v/>
      </c>
      <c r="F13" s="18">
        <f>IF(ROW()=8,$C$4,F12)+E13</f>
        <v/>
      </c>
    </row>
    <row r="14">
      <c r="A14" s="10" t="inlineStr"/>
      <c r="B14" s="10" t="inlineStr">
        <is>
          <t>2026-07</t>
        </is>
      </c>
      <c r="C14" s="15" t="n">
        <v>1390000</v>
      </c>
      <c r="D14" s="15" t="n">
        <v>1460000</v>
      </c>
      <c r="E14" s="16">
        <f>C14-D14</f>
        <v/>
      </c>
      <c r="F14" s="16">
        <f>IF(ROW()=8,$C$4,F13)+E14</f>
        <v/>
      </c>
    </row>
    <row r="15">
      <c r="A15" s="11" t="inlineStr"/>
      <c r="B15" s="11" t="inlineStr">
        <is>
          <t>2026-08</t>
        </is>
      </c>
      <c r="C15" s="17" t="n">
        <v>1560000</v>
      </c>
      <c r="D15" s="17" t="n">
        <v>1330000</v>
      </c>
      <c r="E15" s="18">
        <f>C15-D15</f>
        <v/>
      </c>
      <c r="F15" s="18">
        <f>IF(ROW()=8,$C$4,F14)+E15</f>
        <v/>
      </c>
    </row>
    <row r="16">
      <c r="A16" s="10" t="inlineStr"/>
      <c r="B16" s="10" t="inlineStr">
        <is>
          <t>2026-09</t>
        </is>
      </c>
      <c r="C16" s="15" t="n">
        <v>1810000</v>
      </c>
      <c r="D16" s="15" t="n">
        <v>1490000</v>
      </c>
      <c r="E16" s="16">
        <f>C16-D16</f>
        <v/>
      </c>
      <c r="F16" s="16">
        <f>IF(ROW()=8,$C$4,F15)+E16</f>
        <v/>
      </c>
    </row>
    <row r="17">
      <c r="A17" s="11" t="inlineStr"/>
      <c r="B17" s="11" t="inlineStr">
        <is>
          <t>2026-10</t>
        </is>
      </c>
      <c r="C17" s="17" t="n">
        <v>1250000</v>
      </c>
      <c r="D17" s="17" t="n">
        <v>1620000</v>
      </c>
      <c r="E17" s="18">
        <f>C17-D17</f>
        <v/>
      </c>
      <c r="F17" s="18">
        <f>IF(ROW()=8,$C$4,F16)+E17</f>
        <v/>
      </c>
    </row>
    <row r="18">
      <c r="A18" s="10" t="inlineStr"/>
      <c r="B18" s="10" t="inlineStr">
        <is>
          <t>2026-11</t>
        </is>
      </c>
      <c r="C18" s="15" t="n">
        <v>1490000</v>
      </c>
      <c r="D18" s="15" t="n">
        <v>1780000</v>
      </c>
      <c r="E18" s="16">
        <f>C18-D18</f>
        <v/>
      </c>
      <c r="F18" s="16">
        <f>IF(ROW()=8,$C$4,F17)+E18</f>
        <v/>
      </c>
    </row>
    <row r="19">
      <c r="A19" s="11" t="inlineStr"/>
      <c r="B19" s="11" t="inlineStr">
        <is>
          <t>2026-12</t>
        </is>
      </c>
      <c r="C19" s="17" t="n">
        <v>1950000</v>
      </c>
      <c r="D19" s="17" t="n">
        <v>2260000</v>
      </c>
      <c r="E19" s="18">
        <f>C19-D19</f>
        <v/>
      </c>
      <c r="F19" s="18">
        <f>IF(ROW()=8,$C$4,F18)+E19</f>
        <v/>
      </c>
    </row>
    <row r="21">
      <c r="B21" s="6" t="inlineStr">
        <is>
          <t>应收账款账龄分析（脱敏示例）</t>
        </is>
      </c>
    </row>
    <row r="22" ht="26" customHeight="1">
      <c r="A22" s="9" t="inlineStr"/>
      <c r="B22" s="9" t="inlineStr">
        <is>
          <t>账龄区间</t>
        </is>
      </c>
      <c r="C22" s="9" t="inlineStr">
        <is>
          <t>金额（元）</t>
        </is>
      </c>
      <c r="D22" s="9" t="inlineStr">
        <is>
          <t>占比</t>
        </is>
      </c>
      <c r="E22" s="9" t="inlineStr">
        <is>
          <t>预计回收率</t>
        </is>
      </c>
      <c r="F22" s="9" t="inlineStr">
        <is>
          <t>可回收金额</t>
        </is>
      </c>
      <c r="G22" s="9" t="inlineStr"/>
      <c r="H22" s="9" t="inlineStr">
        <is>
          <t>风险提示</t>
        </is>
      </c>
      <c r="I22" s="9" t="inlineStr"/>
    </row>
    <row r="23">
      <c r="A23" s="10" t="inlineStr"/>
      <c r="B23" s="10" t="inlineStr">
        <is>
          <t>0-30 天</t>
        </is>
      </c>
      <c r="C23" s="15" t="n">
        <v>520000</v>
      </c>
      <c r="D23" s="19">
        <f>C23/SUM($C$23:$C$27)</f>
        <v/>
      </c>
      <c r="E23" s="20" t="n">
        <v>0.98</v>
      </c>
      <c r="F23" s="16">
        <f>C23*E23</f>
        <v/>
      </c>
      <c r="H23" s="21" t="inlineStr">
        <is>
          <t>正常</t>
        </is>
      </c>
    </row>
    <row r="24">
      <c r="A24" s="11" t="inlineStr"/>
      <c r="B24" s="11" t="inlineStr">
        <is>
          <t>31-60 天</t>
        </is>
      </c>
      <c r="C24" s="17" t="n">
        <v>335000</v>
      </c>
      <c r="D24" s="22">
        <f>C24/SUM($C$23:$C$27)</f>
        <v/>
      </c>
      <c r="E24" s="23" t="n">
        <v>0.92</v>
      </c>
      <c r="F24" s="18">
        <f>C24*E24</f>
        <v/>
      </c>
      <c r="H24" s="21" t="inlineStr">
        <is>
          <t>正常</t>
        </is>
      </c>
    </row>
    <row r="25">
      <c r="A25" s="10" t="inlineStr"/>
      <c r="B25" s="10" t="inlineStr">
        <is>
          <t>61-90 天</t>
        </is>
      </c>
      <c r="C25" s="15" t="n">
        <v>483000</v>
      </c>
      <c r="D25" s="19">
        <f>C25/SUM($C$23:$C$27)</f>
        <v/>
      </c>
      <c r="E25" s="20" t="n">
        <v>0.8</v>
      </c>
      <c r="F25" s="16">
        <f>C25*E25</f>
        <v/>
      </c>
      <c r="H25" s="21" t="inlineStr">
        <is>
          <t>需跟进</t>
        </is>
      </c>
    </row>
    <row r="26">
      <c r="A26" s="11" t="inlineStr"/>
      <c r="B26" s="11" t="inlineStr">
        <is>
          <t>90-180 天</t>
        </is>
      </c>
      <c r="C26" s="17" t="n">
        <v>520000</v>
      </c>
      <c r="D26" s="22">
        <f>C26/SUM($C$23:$C$27)</f>
        <v/>
      </c>
      <c r="E26" s="23" t="n">
        <v>0.55</v>
      </c>
      <c r="F26" s="18">
        <f>C26*E26</f>
        <v/>
      </c>
      <c r="H26" s="21" t="inlineStr">
        <is>
          <t>重点催收</t>
        </is>
      </c>
    </row>
    <row r="27">
      <c r="A27" s="10" t="inlineStr"/>
      <c r="B27" s="10" t="inlineStr">
        <is>
          <t>180 天以上</t>
        </is>
      </c>
      <c r="C27" s="15" t="n">
        <v>290000</v>
      </c>
      <c r="D27" s="19">
        <f>C27/SUM($C$23:$C$27)</f>
        <v/>
      </c>
      <c r="E27" s="20" t="n">
        <v>0.25</v>
      </c>
      <c r="F27" s="16">
        <f>C27*E27</f>
        <v/>
      </c>
      <c r="H27" s="24" t="inlineStr">
        <is>
          <t>⚠️ 高风险，建议计提</t>
        </is>
      </c>
    </row>
    <row r="28">
      <c r="A28" s="25" t="inlineStr"/>
      <c r="B28" s="25" t="inlineStr">
        <is>
          <t>合计</t>
        </is>
      </c>
      <c r="C28" s="26">
        <f>SUM(C23:C27)</f>
        <v/>
      </c>
      <c r="D28" s="27" t="n">
        <v>1</v>
      </c>
      <c r="E28" s="25" t="inlineStr"/>
      <c r="F28" s="26">
        <f>SUM(F23:F27)</f>
        <v/>
      </c>
    </row>
    <row r="30" ht="90" customHeight="1">
      <c r="A30" s="12" t="inlineStr">
        <is>
          <t>📌 读表要点：可支撑月数 = 期末现金 ÷ 月均净流出 = 210 万 ÷ 32.3 万 ≈ 6.5 个月。安全线通常按 6 个月设，本表刚好压线——要么加速回款，要么把部分支出后移。更关键的是应收这一端：账面应收 214.8 万，按各账龄区间预计回收率加权后，真实可回收约 156 万，差额 58.5 万（占账面 27%）。做资金计划按 156 万排，不要按 214.8 万排。口径校验：本表应收合计与表⑤互为验证——年营收 1207 万 × 加权 DSO 65 天 ÷ 365 ≈ 215 万，与本表合计一致。</t>
        </is>
      </c>
    </row>
  </sheetData>
  <mergeCells count="3">
    <mergeCell ref="A1:I1"/>
    <mergeCell ref="A2:I2"/>
    <mergeCell ref="A30:I30"/>
  </mergeCells>
  <conditionalFormatting sqref="E8:E19">
    <cfRule type="cellIs" priority="1" operator="lessThan" dxfId="0">
      <formula>0</formula>
    </cfRule>
  </conditionalFormatting>
  <conditionalFormatting sqref="C23:H27">
    <cfRule type="expression" priority="2" dxfId="1">
      <formula>$E23&lt;0.6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4" customWidth="1" min="6" max="6"/>
    <col width="16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表② 收入结构表 —— 钱从哪来</t>
        </is>
      </c>
    </row>
    <row r="2">
      <c r="A2" s="2" t="inlineStr">
        <is>
          <t>最危险的结构，是一个客户占你 40% 以上。盯住"前 20% 客户贡献占比"。</t>
        </is>
      </c>
    </row>
    <row r="4" ht="24" customHeight="1">
      <c r="B4" s="4" t="inlineStr">
        <is>
          <t>Top12 客户收入（元）</t>
        </is>
      </c>
      <c r="C4" s="13">
        <f>SUM(C8:C19)</f>
        <v/>
      </c>
      <c r="D4" s="4" t="inlineStr">
        <is>
          <t>前 20% 客户贡献</t>
        </is>
      </c>
      <c r="E4" s="28">
        <f>SUM(C8:C10)/SUM(C8:C19)</f>
        <v/>
      </c>
      <c r="F4" s="7" t="inlineStr"/>
      <c r="G4" s="4" t="inlineStr">
        <is>
          <t>第一大客户占比</t>
        </is>
      </c>
      <c r="H4" s="28">
        <f>MAX(C8:C19)/SUM(C8:C19)</f>
        <v/>
      </c>
      <c r="I4" s="4" t="inlineStr">
        <is>
          <t>集中度判定</t>
        </is>
      </c>
      <c r="J4" s="29">
        <f>IF(H4&gt;0.4,"⚠️ 危险：单一客户超 40%",IF(H4&gt;0.25,"注意：偏高","健康"))</f>
        <v/>
      </c>
    </row>
    <row r="7" ht="26" customHeight="1">
      <c r="A7" s="9" t="inlineStr"/>
      <c r="B7" s="9" t="inlineStr">
        <is>
          <t>Top12 客户（脱敏）</t>
        </is>
      </c>
      <c r="C7" s="9" t="inlineStr">
        <is>
          <t>年度收入（元）</t>
        </is>
      </c>
      <c r="D7" s="9" t="inlineStr">
        <is>
          <t>收入占比</t>
        </is>
      </c>
      <c r="E7" s="9" t="inlineStr">
        <is>
          <t>累计占比</t>
        </is>
      </c>
      <c r="F7" s="9" t="inlineStr"/>
      <c r="G7" s="9" t="inlineStr">
        <is>
          <t>产品线</t>
        </is>
      </c>
      <c r="H7" s="9" t="inlineStr">
        <is>
          <t>收入（元）</t>
        </is>
      </c>
      <c r="I7" s="9" t="inlineStr">
        <is>
          <t>占比</t>
        </is>
      </c>
      <c r="J7" s="9" t="inlineStr">
        <is>
          <t>毛利率</t>
        </is>
      </c>
    </row>
    <row r="8">
      <c r="A8" s="10" t="inlineStr"/>
      <c r="B8" s="10" t="inlineStr">
        <is>
          <t>客户 A</t>
        </is>
      </c>
      <c r="C8" s="15" t="n">
        <v>2860000</v>
      </c>
      <c r="D8" s="20">
        <f>C8/SUM($C$8:$C$19)</f>
        <v/>
      </c>
      <c r="E8" s="20">
        <f>SUM($C$8:C8)/SUM($C$8:$C$19)</f>
        <v/>
      </c>
      <c r="G8" s="30" t="inlineStr">
        <is>
          <t>显示系统 P1</t>
        </is>
      </c>
      <c r="H8" s="31" t="n">
        <v>5450000</v>
      </c>
      <c r="I8" s="32">
        <f>H8/SUM($H$8:$H$10)</f>
        <v/>
      </c>
      <c r="J8" s="32" t="n">
        <v>0.312</v>
      </c>
    </row>
    <row r="9">
      <c r="A9" s="11" t="inlineStr"/>
      <c r="B9" s="11" t="inlineStr">
        <is>
          <t>客户 B</t>
        </is>
      </c>
      <c r="C9" s="17" t="n">
        <v>2140000</v>
      </c>
      <c r="D9" s="23">
        <f>C9/SUM($C$8:$C$19)</f>
        <v/>
      </c>
      <c r="E9" s="23">
        <f>SUM($C$8:C9)/SUM($C$8:$C$19)</f>
        <v/>
      </c>
      <c r="G9" s="30" t="inlineStr">
        <is>
          <t>照明工程 P2</t>
        </is>
      </c>
      <c r="H9" s="31" t="n">
        <v>3850000</v>
      </c>
      <c r="I9" s="32">
        <f>H9/SUM($H$8:$H$10)</f>
        <v/>
      </c>
      <c r="J9" s="32" t="n">
        <v>0.248</v>
      </c>
    </row>
    <row r="10">
      <c r="A10" s="10" t="inlineStr"/>
      <c r="B10" s="10" t="inlineStr">
        <is>
          <t>客户 C</t>
        </is>
      </c>
      <c r="C10" s="15" t="n">
        <v>1680000</v>
      </c>
      <c r="D10" s="20">
        <f>C10/SUM($C$8:$C$19)</f>
        <v/>
      </c>
      <c r="E10" s="20">
        <f>SUM($C$8:C10)/SUM($C$8:$C$19)</f>
        <v/>
      </c>
      <c r="G10" s="30" t="inlineStr">
        <is>
          <t>能源服务 P3</t>
        </is>
      </c>
      <c r="H10" s="31" t="n">
        <v>2770000</v>
      </c>
      <c r="I10" s="32">
        <f>H10/SUM($H$8:$H$10)</f>
        <v/>
      </c>
      <c r="J10" s="32" t="n">
        <v>0.196</v>
      </c>
    </row>
    <row r="11">
      <c r="A11" s="11" t="inlineStr"/>
      <c r="B11" s="11" t="inlineStr">
        <is>
          <t>客户 D</t>
        </is>
      </c>
      <c r="C11" s="17" t="n">
        <v>1250000</v>
      </c>
      <c r="D11" s="23">
        <f>C11/SUM($C$8:$C$19)</f>
        <v/>
      </c>
      <c r="E11" s="23">
        <f>SUM($C$8:C11)/SUM($C$8:$C$19)</f>
        <v/>
      </c>
    </row>
    <row r="12">
      <c r="A12" s="10" t="inlineStr"/>
      <c r="B12" s="10" t="inlineStr">
        <is>
          <t>客户 E</t>
        </is>
      </c>
      <c r="C12" s="15" t="n">
        <v>980000</v>
      </c>
      <c r="D12" s="20">
        <f>C12/SUM($C$8:$C$19)</f>
        <v/>
      </c>
      <c r="E12" s="20">
        <f>SUM($C$8:C12)/SUM($C$8:$C$19)</f>
        <v/>
      </c>
    </row>
    <row r="13">
      <c r="A13" s="11" t="inlineStr"/>
      <c r="B13" s="11" t="inlineStr">
        <is>
          <t>客户 F</t>
        </is>
      </c>
      <c r="C13" s="17" t="n">
        <v>760000</v>
      </c>
      <c r="D13" s="23">
        <f>C13/SUM($C$8:$C$19)</f>
        <v/>
      </c>
      <c r="E13" s="23">
        <f>SUM($C$8:C13)/SUM($C$8:$C$19)</f>
        <v/>
      </c>
    </row>
    <row r="14">
      <c r="A14" s="10" t="inlineStr"/>
      <c r="B14" s="10" t="inlineStr">
        <is>
          <t>客户 G</t>
        </is>
      </c>
      <c r="C14" s="15" t="n">
        <v>620000</v>
      </c>
      <c r="D14" s="20">
        <f>C14/SUM($C$8:$C$19)</f>
        <v/>
      </c>
      <c r="E14" s="20">
        <f>SUM($C$8:C14)/SUM($C$8:$C$19)</f>
        <v/>
      </c>
    </row>
    <row r="15">
      <c r="A15" s="11" t="inlineStr"/>
      <c r="B15" s="11" t="inlineStr">
        <is>
          <t>客户 H</t>
        </is>
      </c>
      <c r="C15" s="17" t="n">
        <v>480000</v>
      </c>
      <c r="D15" s="23">
        <f>C15/SUM($C$8:$C$19)</f>
        <v/>
      </c>
      <c r="E15" s="23">
        <f>SUM($C$8:C15)/SUM($C$8:$C$19)</f>
        <v/>
      </c>
    </row>
    <row r="16">
      <c r="A16" s="10" t="inlineStr"/>
      <c r="B16" s="10" t="inlineStr">
        <is>
          <t>客户 I</t>
        </is>
      </c>
      <c r="C16" s="15" t="n">
        <v>390000</v>
      </c>
      <c r="D16" s="20">
        <f>C16/SUM($C$8:$C$19)</f>
        <v/>
      </c>
      <c r="E16" s="20">
        <f>SUM($C$8:C16)/SUM($C$8:$C$19)</f>
        <v/>
      </c>
    </row>
    <row r="17">
      <c r="A17" s="11" t="inlineStr"/>
      <c r="B17" s="11" t="inlineStr">
        <is>
          <t>客户 J</t>
        </is>
      </c>
      <c r="C17" s="17" t="n">
        <v>260000</v>
      </c>
      <c r="D17" s="23">
        <f>C17/SUM($C$8:$C$19)</f>
        <v/>
      </c>
      <c r="E17" s="23">
        <f>SUM($C$8:C17)/SUM($C$8:$C$19)</f>
        <v/>
      </c>
    </row>
    <row r="18">
      <c r="A18" s="10" t="inlineStr"/>
      <c r="B18" s="10" t="inlineStr">
        <is>
          <t>客户 K</t>
        </is>
      </c>
      <c r="C18" s="15" t="n">
        <v>180000</v>
      </c>
      <c r="D18" s="20">
        <f>C18/SUM($C$8:$C$19)</f>
        <v/>
      </c>
      <c r="E18" s="20">
        <f>SUM($C$8:C18)/SUM($C$8:$C$19)</f>
        <v/>
      </c>
    </row>
    <row r="19">
      <c r="A19" s="11" t="inlineStr"/>
      <c r="B19" s="11" t="inlineStr">
        <is>
          <t>客户 L</t>
        </is>
      </c>
      <c r="C19" s="17" t="n">
        <v>95000</v>
      </c>
      <c r="D19" s="23">
        <f>C19/SUM($C$8:$C$19)</f>
        <v/>
      </c>
      <c r="E19" s="23">
        <f>SUM($C$8:C19)/SUM($C$8:$C$19)</f>
        <v/>
      </c>
    </row>
    <row r="21">
      <c r="B21" s="6" t="inlineStr">
        <is>
          <t>区域维度（脱敏示例）</t>
        </is>
      </c>
    </row>
    <row r="22" ht="26" customHeight="1">
      <c r="A22" s="9" t="inlineStr"/>
      <c r="B22" s="9" t="inlineStr">
        <is>
          <t>区域</t>
        </is>
      </c>
      <c r="C22" s="9" t="inlineStr">
        <is>
          <t>收入（元）</t>
        </is>
      </c>
      <c r="D22" s="9" t="inlineStr">
        <is>
          <t>占比</t>
        </is>
      </c>
      <c r="E22" s="9" t="inlineStr">
        <is>
          <t>同比</t>
        </is>
      </c>
      <c r="F22" s="9" t="inlineStr"/>
      <c r="G22" s="9" t="inlineStr"/>
      <c r="H22" s="9" t="inlineStr"/>
      <c r="I22" s="9" t="inlineStr"/>
      <c r="J22" s="9" t="inlineStr"/>
    </row>
    <row r="23">
      <c r="A23" s="10" t="inlineStr"/>
      <c r="B23" s="10" t="inlineStr">
        <is>
          <t>华东</t>
        </is>
      </c>
      <c r="C23" s="15" t="n">
        <v>4260000</v>
      </c>
      <c r="D23" s="19">
        <f>C23/SUM($C$23:$C$27)</f>
        <v/>
      </c>
      <c r="E23" s="33" t="n">
        <v>0.18</v>
      </c>
    </row>
    <row r="24">
      <c r="A24" s="11" t="inlineStr"/>
      <c r="B24" s="11" t="inlineStr">
        <is>
          <t>华南</t>
        </is>
      </c>
      <c r="C24" s="17" t="n">
        <v>3150000</v>
      </c>
      <c r="D24" s="22">
        <f>C24/SUM($C$23:$C$27)</f>
        <v/>
      </c>
      <c r="E24" s="34" t="n">
        <v>-0.06</v>
      </c>
    </row>
    <row r="25">
      <c r="A25" s="10" t="inlineStr"/>
      <c r="B25" s="10" t="inlineStr">
        <is>
          <t>华北</t>
        </is>
      </c>
      <c r="C25" s="15" t="n">
        <v>2380000</v>
      </c>
      <c r="D25" s="19">
        <f>C25/SUM($C$23:$C$27)</f>
        <v/>
      </c>
      <c r="E25" s="33" t="n">
        <v>0.22</v>
      </c>
    </row>
    <row r="26">
      <c r="A26" s="11" t="inlineStr"/>
      <c r="B26" s="11" t="inlineStr">
        <is>
          <t>西南</t>
        </is>
      </c>
      <c r="C26" s="17" t="n">
        <v>1420000</v>
      </c>
      <c r="D26" s="22">
        <f>C26/SUM($C$23:$C$27)</f>
        <v/>
      </c>
      <c r="E26" s="34" t="n">
        <v>0.35</v>
      </c>
    </row>
    <row r="27">
      <c r="A27" s="10" t="inlineStr"/>
      <c r="B27" s="10" t="inlineStr">
        <is>
          <t>西北</t>
        </is>
      </c>
      <c r="C27" s="15" t="n">
        <v>860000</v>
      </c>
      <c r="D27" s="19">
        <f>C27/SUM($C$23:$C$27)</f>
        <v/>
      </c>
      <c r="E27" s="33" t="n">
        <v>-0.12</v>
      </c>
    </row>
    <row r="29" ht="72" customHeight="1">
      <c r="A29" s="12" t="inlineStr">
        <is>
          <t>📌 读表要点：前 20% 客户（3 家）贡献 57% 收入，第一大客户占 24.5%，已接近 25% 的集中度警戒线。收入越集中，单客户流失对全年业绩的冲击越大——建议对占比超 15% 的客户单独建立维护台账与流失预警。维度校验：产品线与区域两个维度合计均为 1207 万（＝年度总营收）；客户维度列示的是前 12 大客户，合计 1169.5 万、占年营收 96.9%，其余为长尾零散客户。换成真实数据后如果两个维度对不上，说明口径还没统一，先回去填《指标口径定义表》。</t>
        </is>
      </c>
    </row>
  </sheetData>
  <mergeCells count="3">
    <mergeCell ref="A1:J1"/>
    <mergeCell ref="A29:J29"/>
    <mergeCell ref="A2:J2"/>
  </mergeCells>
  <conditionalFormatting sqref="D8:D19">
    <cfRule type="cellIs" priority="1" operator="greaterThan" dxfId="2">
      <formula>0.15</formula>
    </cfRule>
  </conditionalFormatting>
  <conditionalFormatting sqref="E23:E27">
    <cfRule type="cellIs" priority="2" operator="lessThan" dxfId="2">
      <formula>0</formula>
    </cfRule>
    <cfRule type="cellIs" priority="3" operator="greaterThan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24" customWidth="1" min="9" max="9"/>
  </cols>
  <sheetData>
    <row r="1">
      <c r="A1" s="1" t="inlineStr">
        <is>
          <t>表③ 项目 / 产品盈亏表 —— 哪个生意真的赚钱</t>
        </is>
      </c>
    </row>
    <row r="2">
      <c r="A2" s="2" t="inlineStr">
        <is>
          <t>营收涨了利润没涨，问题一定出在这一张表。低于毛利率底线的单子，做得越大亏得越多。</t>
        </is>
      </c>
    </row>
    <row r="4" ht="24" customHeight="1">
      <c r="B4" s="4" t="inlineStr">
        <is>
          <t>毛利率底线</t>
        </is>
      </c>
      <c r="C4" s="28" t="n">
        <v>0.25</v>
      </c>
      <c r="D4" s="4" t="inlineStr">
        <is>
          <t>低于底线的项目数</t>
        </is>
      </c>
      <c r="E4" s="35">
        <f>COUNTIF(G8:G17,"&lt;0.25")</f>
        <v/>
      </c>
      <c r="F4" s="4" t="inlineStr">
        <is>
          <t>加权毛利率</t>
        </is>
      </c>
      <c r="G4" s="28">
        <f>IF(SUM(C8:C17)=0,0,SUM(F8:F17)/SUM(C8:C17))</f>
        <v/>
      </c>
      <c r="H4" s="7" t="inlineStr"/>
      <c r="I4" s="29">
        <f>IF(E4=0,"全部达标","⚠️ 有 "&amp;E4&amp;" 个项目低于底线")</f>
        <v/>
      </c>
    </row>
    <row r="7" ht="26" customHeight="1">
      <c r="A7" s="9" t="inlineStr"/>
      <c r="B7" s="9" t="inlineStr">
        <is>
          <t>项目编号</t>
        </is>
      </c>
      <c r="C7" s="9" t="inlineStr">
        <is>
          <t>合同额（元）</t>
        </is>
      </c>
      <c r="D7" s="9" t="inlineStr">
        <is>
          <t>直接成本</t>
        </is>
      </c>
      <c r="E7" s="9" t="inlineStr">
        <is>
          <t>分摊费用（按合同额 10%）</t>
        </is>
      </c>
      <c r="F7" s="9" t="inlineStr">
        <is>
          <t>毛利（元）</t>
        </is>
      </c>
      <c r="G7" s="9" t="inlineStr">
        <is>
          <t>毛利率</t>
        </is>
      </c>
      <c r="H7" s="9" t="inlineStr">
        <is>
          <t>判定</t>
        </is>
      </c>
      <c r="I7" s="9" t="inlineStr">
        <is>
          <t>处理建议</t>
        </is>
      </c>
    </row>
    <row r="8">
      <c r="A8" s="10" t="inlineStr"/>
      <c r="B8" s="10" t="inlineStr">
        <is>
          <t>PRJ-001</t>
        </is>
      </c>
      <c r="C8" s="15" t="n">
        <v>1860000</v>
      </c>
      <c r="D8" s="15" t="n">
        <v>1210000</v>
      </c>
      <c r="E8" s="15" t="n">
        <v>186000</v>
      </c>
      <c r="F8" s="16">
        <f>C8-D8-E8</f>
        <v/>
      </c>
      <c r="G8" s="19">
        <f>IF(C8=0,0,F8/C8)</f>
        <v/>
      </c>
      <c r="H8" s="36">
        <f>IF(G8&lt;$C$4,"低于底线","达标")</f>
        <v/>
      </c>
      <c r="I8" s="30">
        <f>IF(G8&lt;$C$4-0.1,"建议止损或重议价",IF(G8&lt;$C$4,"压成本 / 提报价","维持"))</f>
        <v/>
      </c>
    </row>
    <row r="9">
      <c r="A9" s="11" t="inlineStr"/>
      <c r="B9" s="11" t="inlineStr">
        <is>
          <t>PRJ-002</t>
        </is>
      </c>
      <c r="C9" s="17" t="n">
        <v>1420000</v>
      </c>
      <c r="D9" s="17" t="n">
        <v>980000</v>
      </c>
      <c r="E9" s="17" t="n">
        <v>142000</v>
      </c>
      <c r="F9" s="18">
        <f>C9-D9-E9</f>
        <v/>
      </c>
      <c r="G9" s="22">
        <f>IF(C9=0,0,F9/C9)</f>
        <v/>
      </c>
      <c r="H9" s="36">
        <f>IF(G9&lt;$C$4,"低于底线","达标")</f>
        <v/>
      </c>
      <c r="I9" s="30">
        <f>IF(G9&lt;$C$4-0.1,"建议止损或重议价",IF(G9&lt;$C$4,"压成本 / 提报价","维持"))</f>
        <v/>
      </c>
    </row>
    <row r="10">
      <c r="A10" s="10" t="inlineStr"/>
      <c r="B10" s="10" t="inlineStr">
        <is>
          <t>PRJ-003</t>
        </is>
      </c>
      <c r="C10" s="15" t="n">
        <v>1180000</v>
      </c>
      <c r="D10" s="15" t="n">
        <v>720000</v>
      </c>
      <c r="E10" s="15" t="n">
        <v>118000</v>
      </c>
      <c r="F10" s="16">
        <f>C10-D10-E10</f>
        <v/>
      </c>
      <c r="G10" s="19">
        <f>IF(C10=0,0,F10/C10)</f>
        <v/>
      </c>
      <c r="H10" s="36">
        <f>IF(G10&lt;$C$4,"低于底线","达标")</f>
        <v/>
      </c>
      <c r="I10" s="30">
        <f>IF(G10&lt;$C$4-0.1,"建议止损或重议价",IF(G10&lt;$C$4,"压成本 / 提报价","维持"))</f>
        <v/>
      </c>
    </row>
    <row r="11">
      <c r="A11" s="11" t="inlineStr"/>
      <c r="B11" s="11" t="inlineStr">
        <is>
          <t>PRJ-004</t>
        </is>
      </c>
      <c r="C11" s="17" t="n">
        <v>960000</v>
      </c>
      <c r="D11" s="17" t="n">
        <v>690000</v>
      </c>
      <c r="E11" s="17" t="n">
        <v>96000</v>
      </c>
      <c r="F11" s="18">
        <f>C11-D11-E11</f>
        <v/>
      </c>
      <c r="G11" s="22">
        <f>IF(C11=0,0,F11/C11)</f>
        <v/>
      </c>
      <c r="H11" s="36">
        <f>IF(G11&lt;$C$4,"低于底线","达标")</f>
        <v/>
      </c>
      <c r="I11" s="30">
        <f>IF(G11&lt;$C$4-0.1,"建议止损或重议价",IF(G11&lt;$C$4,"压成本 / 提报价","维持"))</f>
        <v/>
      </c>
    </row>
    <row r="12">
      <c r="A12" s="10" t="inlineStr"/>
      <c r="B12" s="10" t="inlineStr">
        <is>
          <t>PRJ-005</t>
        </is>
      </c>
      <c r="C12" s="15" t="n">
        <v>880000</v>
      </c>
      <c r="D12" s="15" t="n">
        <v>540000</v>
      </c>
      <c r="E12" s="15" t="n">
        <v>88000</v>
      </c>
      <c r="F12" s="16">
        <f>C12-D12-E12</f>
        <v/>
      </c>
      <c r="G12" s="19">
        <f>IF(C12=0,0,F12/C12)</f>
        <v/>
      </c>
      <c r="H12" s="36">
        <f>IF(G12&lt;$C$4,"低于底线","达标")</f>
        <v/>
      </c>
      <c r="I12" s="30">
        <f>IF(G12&lt;$C$4-0.1,"建议止损或重议价",IF(G12&lt;$C$4,"压成本 / 提报价","维持"))</f>
        <v/>
      </c>
    </row>
    <row r="13">
      <c r="A13" s="11" t="inlineStr"/>
      <c r="B13" s="11" t="inlineStr">
        <is>
          <t>PRJ-006</t>
        </is>
      </c>
      <c r="C13" s="17" t="n">
        <v>760000</v>
      </c>
      <c r="D13" s="17" t="n">
        <v>590000</v>
      </c>
      <c r="E13" s="17" t="n">
        <v>76000</v>
      </c>
      <c r="F13" s="18">
        <f>C13-D13-E13</f>
        <v/>
      </c>
      <c r="G13" s="22">
        <f>IF(C13=0,0,F13/C13)</f>
        <v/>
      </c>
      <c r="H13" s="36">
        <f>IF(G13&lt;$C$4,"低于底线","达标")</f>
        <v/>
      </c>
      <c r="I13" s="30">
        <f>IF(G13&lt;$C$4-0.1,"建议止损或重议价",IF(G13&lt;$C$4,"压成本 / 提报价","维持"))</f>
        <v/>
      </c>
    </row>
    <row r="14">
      <c r="A14" s="10" t="inlineStr"/>
      <c r="B14" s="10" t="inlineStr">
        <is>
          <t>PRJ-007</t>
        </is>
      </c>
      <c r="C14" s="15" t="n">
        <v>640000</v>
      </c>
      <c r="D14" s="15" t="n">
        <v>398000</v>
      </c>
      <c r="E14" s="15" t="n">
        <v>64000</v>
      </c>
      <c r="F14" s="16">
        <f>C14-D14-E14</f>
        <v/>
      </c>
      <c r="G14" s="19">
        <f>IF(C14=0,0,F14/C14)</f>
        <v/>
      </c>
      <c r="H14" s="36">
        <f>IF(G14&lt;$C$4,"低于底线","达标")</f>
        <v/>
      </c>
      <c r="I14" s="30">
        <f>IF(G14&lt;$C$4-0.1,"建议止损或重议价",IF(G14&lt;$C$4,"压成本 / 提报价","维持"))</f>
        <v/>
      </c>
    </row>
    <row r="15">
      <c r="A15" s="11" t="inlineStr"/>
      <c r="B15" s="11" t="inlineStr">
        <is>
          <t>PRJ-008</t>
        </is>
      </c>
      <c r="C15" s="17" t="n">
        <v>520000</v>
      </c>
      <c r="D15" s="17" t="n">
        <v>386000</v>
      </c>
      <c r="E15" s="17" t="n">
        <v>52000</v>
      </c>
      <c r="F15" s="18">
        <f>C15-D15-E15</f>
        <v/>
      </c>
      <c r="G15" s="22">
        <f>IF(C15=0,0,F15/C15)</f>
        <v/>
      </c>
      <c r="H15" s="36">
        <f>IF(G15&lt;$C$4,"低于底线","达标")</f>
        <v/>
      </c>
      <c r="I15" s="30">
        <f>IF(G15&lt;$C$4-0.1,"建议止损或重议价",IF(G15&lt;$C$4,"压成本 / 提报价","维持"))</f>
        <v/>
      </c>
    </row>
    <row r="16">
      <c r="A16" s="10" t="inlineStr"/>
      <c r="B16" s="10" t="inlineStr">
        <is>
          <t>PRJ-009</t>
        </is>
      </c>
      <c r="C16" s="15" t="n">
        <v>430000</v>
      </c>
      <c r="D16" s="15" t="n">
        <v>305000</v>
      </c>
      <c r="E16" s="15" t="n">
        <v>43000</v>
      </c>
      <c r="F16" s="16">
        <f>C16-D16-E16</f>
        <v/>
      </c>
      <c r="G16" s="19">
        <f>IF(C16=0,0,F16/C16)</f>
        <v/>
      </c>
      <c r="H16" s="36">
        <f>IF(G16&lt;$C$4,"低于底线","达标")</f>
        <v/>
      </c>
      <c r="I16" s="30">
        <f>IF(G16&lt;$C$4-0.1,"建议止损或重议价",IF(G16&lt;$C$4,"压成本 / 提报价","维持"))</f>
        <v/>
      </c>
    </row>
    <row r="17">
      <c r="A17" s="11" t="inlineStr"/>
      <c r="B17" s="11" t="inlineStr">
        <is>
          <t>PRJ-010</t>
        </is>
      </c>
      <c r="C17" s="17" t="n">
        <v>280000</v>
      </c>
      <c r="D17" s="17" t="n">
        <v>232000</v>
      </c>
      <c r="E17" s="17" t="n">
        <v>28000</v>
      </c>
      <c r="F17" s="18">
        <f>C17-D17-E17</f>
        <v/>
      </c>
      <c r="G17" s="22">
        <f>IF(C17=0,0,F17/C17)</f>
        <v/>
      </c>
      <c r="H17" s="36">
        <f>IF(G17&lt;$C$4,"低于底线","达标")</f>
        <v/>
      </c>
      <c r="I17" s="30">
        <f>IF(G17&lt;$C$4-0.1,"建议止损或重议价",IF(G17&lt;$C$4,"压成本 / 提报价","维持"))</f>
        <v/>
      </c>
    </row>
    <row r="18">
      <c r="A18" s="25" t="inlineStr"/>
      <c r="B18" s="25" t="inlineStr">
        <is>
          <t>合计</t>
        </is>
      </c>
      <c r="C18" s="26">
        <f>SUM(C8:C17)</f>
        <v/>
      </c>
      <c r="D18" s="26">
        <f>SUM(D8:D17)</f>
        <v/>
      </c>
      <c r="E18" s="26">
        <f>SUM(E8:E17)</f>
        <v/>
      </c>
      <c r="F18" s="26">
        <f>SUM(F8:F17)</f>
        <v/>
      </c>
      <c r="G18" s="37">
        <f>F18/C18</f>
        <v/>
      </c>
    </row>
    <row r="20" ht="72" customHeight="1">
      <c r="A20" s="12" t="inlineStr">
        <is>
          <t>📌 读表要点：PRJ-010 合同额 28 万，毛利率仅 7.1%，远低于 25% 的底线——这类订单不是生意，是占用交付资源还倒贴管理成本。判断一笔订单的优先级，先问“拿下了值不值”，再问“能不能拿下”。注意本表 10 个在执行的重点项目合计合同额 893 万、约占年营收 74%，其中 7 个低于底线、加权毛利率 22.2%——问题不在单个项目，而在报价体系或成本结构，逐单救火解决不了。</t>
        </is>
      </c>
    </row>
  </sheetData>
  <mergeCells count="3">
    <mergeCell ref="A1:I1"/>
    <mergeCell ref="A20:I20"/>
    <mergeCell ref="A2:I2"/>
  </mergeCells>
  <conditionalFormatting sqref="G8:G17">
    <cfRule type="cellIs" priority="1" operator="lessThan" dxfId="1">
      <formula>$C$4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表④ 漏斗与预测表 —— 下季度能收多少</t>
        </is>
      </c>
    </row>
    <row r="2">
      <c r="A2" s="2" t="inlineStr">
        <is>
          <t>没有预测的复盘都是马后炮。给每个商机打中标概率分，用概率加权，不要拍脑袋。</t>
        </is>
      </c>
    </row>
    <row r="4" ht="24" customHeight="1">
      <c r="B4" s="4" t="inlineStr">
        <is>
          <t>商机总金额</t>
        </is>
      </c>
      <c r="C4" s="13">
        <f>SUM(C8:C22)</f>
        <v/>
      </c>
      <c r="D4" s="4" t="inlineStr">
        <is>
          <t>概率加权预测</t>
        </is>
      </c>
      <c r="E4" s="13">
        <f>SUM(G8:G22)</f>
        <v/>
      </c>
      <c r="F4" s="4" t="inlineStr">
        <is>
          <t>加权/总额</t>
        </is>
      </c>
      <c r="G4" s="28">
        <f>IF(C4=0,0,E4/C4)</f>
        <v/>
      </c>
      <c r="H4" s="7" t="inlineStr"/>
      <c r="I4" s="4" t="inlineStr">
        <is>
          <t>本季度预计签约（Q4）</t>
        </is>
      </c>
      <c r="J4" s="13">
        <f>SUMIF(I8:I22,"2026-Q4",G8:G22)</f>
        <v/>
      </c>
    </row>
    <row r="7" ht="26" customHeight="1">
      <c r="A7" s="9" t="inlineStr"/>
      <c r="B7" s="9" t="inlineStr">
        <is>
          <t>商机编号</t>
        </is>
      </c>
      <c r="C7" s="9" t="inlineStr">
        <is>
          <t>金额（元）</t>
        </is>
      </c>
      <c r="D7" s="9" t="inlineStr">
        <is>
          <t>客户（脱敏）</t>
        </is>
      </c>
      <c r="E7" s="9" t="inlineStr">
        <is>
          <t>当前阶段</t>
        </is>
      </c>
      <c r="F7" s="9" t="inlineStr">
        <is>
          <t>中标概率</t>
        </is>
      </c>
      <c r="G7" s="9" t="inlineStr">
        <is>
          <t>加权金额</t>
        </is>
      </c>
      <c r="H7" s="9" t="inlineStr">
        <is>
          <t>停留天数</t>
        </is>
      </c>
      <c r="I7" s="9" t="inlineStr">
        <is>
          <t>预计签约</t>
        </is>
      </c>
    </row>
    <row r="8">
      <c r="A8" s="10" t="inlineStr"/>
      <c r="B8" s="10" t="inlineStr">
        <is>
          <t>OPP-001</t>
        </is>
      </c>
      <c r="C8" s="15" t="n">
        <v>1680000</v>
      </c>
      <c r="D8" s="10" t="inlineStr">
        <is>
          <t>客户 A</t>
        </is>
      </c>
      <c r="E8" s="10" t="inlineStr">
        <is>
          <t>商务谈判</t>
        </is>
      </c>
      <c r="F8" s="20" t="n">
        <v>0.8</v>
      </c>
      <c r="G8" s="16">
        <f>C8*F8</f>
        <v/>
      </c>
      <c r="H8" s="38" t="n">
        <v>42</v>
      </c>
      <c r="I8" s="10" t="inlineStr">
        <is>
          <t>2026-Q4</t>
        </is>
      </c>
    </row>
    <row r="9">
      <c r="A9" s="11" t="inlineStr"/>
      <c r="B9" s="11" t="inlineStr">
        <is>
          <t>OPP-002</t>
        </is>
      </c>
      <c r="C9" s="17" t="n">
        <v>1240000</v>
      </c>
      <c r="D9" s="11" t="inlineStr">
        <is>
          <t>客户 B</t>
        </is>
      </c>
      <c r="E9" s="11" t="inlineStr">
        <is>
          <t>报价</t>
        </is>
      </c>
      <c r="F9" s="23" t="n">
        <v>0.5</v>
      </c>
      <c r="G9" s="18">
        <f>C9*F9</f>
        <v/>
      </c>
      <c r="H9" s="39" t="n">
        <v>18</v>
      </c>
      <c r="I9" s="11" t="inlineStr">
        <is>
          <t>2026-Q4</t>
        </is>
      </c>
    </row>
    <row r="10">
      <c r="A10" s="10" t="inlineStr"/>
      <c r="B10" s="10" t="inlineStr">
        <is>
          <t>OPP-003</t>
        </is>
      </c>
      <c r="C10" s="15" t="n">
        <v>980000</v>
      </c>
      <c r="D10" s="10" t="inlineStr">
        <is>
          <t>客户 C</t>
        </is>
      </c>
      <c r="E10" s="10" t="inlineStr">
        <is>
          <t>商务谈判</t>
        </is>
      </c>
      <c r="F10" s="20" t="n">
        <v>0.8</v>
      </c>
      <c r="G10" s="16">
        <f>C10*F10</f>
        <v/>
      </c>
      <c r="H10" s="38" t="n">
        <v>55</v>
      </c>
      <c r="I10" s="10" t="inlineStr">
        <is>
          <t>2026-Q4</t>
        </is>
      </c>
    </row>
    <row r="11">
      <c r="A11" s="11" t="inlineStr"/>
      <c r="B11" s="11" t="inlineStr">
        <is>
          <t>OPP-004</t>
        </is>
      </c>
      <c r="C11" s="17" t="n">
        <v>860000</v>
      </c>
      <c r="D11" s="11" t="inlineStr">
        <is>
          <t>客户 D</t>
        </is>
      </c>
      <c r="E11" s="11" t="inlineStr">
        <is>
          <t>方案确认</t>
        </is>
      </c>
      <c r="F11" s="23" t="n">
        <v>0.35</v>
      </c>
      <c r="G11" s="18">
        <f>C11*F11</f>
        <v/>
      </c>
      <c r="H11" s="39" t="n">
        <v>12</v>
      </c>
      <c r="I11" s="11" t="inlineStr">
        <is>
          <t>2026-Q4</t>
        </is>
      </c>
    </row>
    <row r="12">
      <c r="A12" s="10" t="inlineStr"/>
      <c r="B12" s="10" t="inlineStr">
        <is>
          <t>OPP-005</t>
        </is>
      </c>
      <c r="C12" s="15" t="n">
        <v>720000</v>
      </c>
      <c r="D12" s="10" t="inlineStr">
        <is>
          <t>客户 E</t>
        </is>
      </c>
      <c r="E12" s="10" t="inlineStr">
        <is>
          <t>报价</t>
        </is>
      </c>
      <c r="F12" s="20" t="n">
        <v>0.5</v>
      </c>
      <c r="G12" s="16">
        <f>C12*F12</f>
        <v/>
      </c>
      <c r="H12" s="38" t="n">
        <v>31</v>
      </c>
      <c r="I12" s="10" t="inlineStr">
        <is>
          <t>2026-Q4</t>
        </is>
      </c>
    </row>
    <row r="13">
      <c r="A13" s="11" t="inlineStr"/>
      <c r="B13" s="11" t="inlineStr">
        <is>
          <t>OPP-006</t>
        </is>
      </c>
      <c r="C13" s="17" t="n">
        <v>640000</v>
      </c>
      <c r="D13" s="11" t="inlineStr">
        <is>
          <t>客户 F</t>
        </is>
      </c>
      <c r="E13" s="11" t="inlineStr">
        <is>
          <t>初步接触</t>
        </is>
      </c>
      <c r="F13" s="23" t="n">
        <v>0.15</v>
      </c>
      <c r="G13" s="18">
        <f>C13*F13</f>
        <v/>
      </c>
      <c r="H13" s="39" t="n">
        <v>8</v>
      </c>
      <c r="I13" s="11" t="inlineStr">
        <is>
          <t>2027-Q1</t>
        </is>
      </c>
    </row>
    <row r="14">
      <c r="A14" s="10" t="inlineStr"/>
      <c r="B14" s="10" t="inlineStr">
        <is>
          <t>OPP-007</t>
        </is>
      </c>
      <c r="C14" s="15" t="n">
        <v>580000</v>
      </c>
      <c r="D14" s="10" t="inlineStr">
        <is>
          <t>客户 G</t>
        </is>
      </c>
      <c r="E14" s="10" t="inlineStr">
        <is>
          <t>方案确认</t>
        </is>
      </c>
      <c r="F14" s="20" t="n">
        <v>0.35</v>
      </c>
      <c r="G14" s="16">
        <f>C14*F14</f>
        <v/>
      </c>
      <c r="H14" s="38" t="n">
        <v>24</v>
      </c>
      <c r="I14" s="10" t="inlineStr">
        <is>
          <t>2026-Q4</t>
        </is>
      </c>
    </row>
    <row r="15">
      <c r="A15" s="11" t="inlineStr"/>
      <c r="B15" s="11" t="inlineStr">
        <is>
          <t>OPP-008</t>
        </is>
      </c>
      <c r="C15" s="17" t="n">
        <v>490000</v>
      </c>
      <c r="D15" s="11" t="inlineStr">
        <is>
          <t>客户 H</t>
        </is>
      </c>
      <c r="E15" s="11" t="inlineStr">
        <is>
          <t>报价</t>
        </is>
      </c>
      <c r="F15" s="23" t="n">
        <v>0.5</v>
      </c>
      <c r="G15" s="18">
        <f>C15*F15</f>
        <v/>
      </c>
      <c r="H15" s="39" t="n">
        <v>47</v>
      </c>
      <c r="I15" s="11" t="inlineStr">
        <is>
          <t>2026-Q4</t>
        </is>
      </c>
    </row>
    <row r="16">
      <c r="A16" s="10" t="inlineStr"/>
      <c r="B16" s="10" t="inlineStr">
        <is>
          <t>OPP-009</t>
        </is>
      </c>
      <c r="C16" s="15" t="n">
        <v>430000</v>
      </c>
      <c r="D16" s="10" t="inlineStr">
        <is>
          <t>客户 I</t>
        </is>
      </c>
      <c r="E16" s="10" t="inlineStr">
        <is>
          <t>中标待签</t>
        </is>
      </c>
      <c r="F16" s="20" t="n">
        <v>0.95</v>
      </c>
      <c r="G16" s="16">
        <f>C16*F16</f>
        <v/>
      </c>
      <c r="H16" s="38" t="n">
        <v>6</v>
      </c>
      <c r="I16" s="10" t="inlineStr">
        <is>
          <t>2026-Q4</t>
        </is>
      </c>
    </row>
    <row r="17">
      <c r="A17" s="11" t="inlineStr"/>
      <c r="B17" s="11" t="inlineStr">
        <is>
          <t>OPP-010</t>
        </is>
      </c>
      <c r="C17" s="17" t="n">
        <v>380000</v>
      </c>
      <c r="D17" s="11" t="inlineStr">
        <is>
          <t>客户 J</t>
        </is>
      </c>
      <c r="E17" s="11" t="inlineStr">
        <is>
          <t>初步接触</t>
        </is>
      </c>
      <c r="F17" s="23" t="n">
        <v>0.15</v>
      </c>
      <c r="G17" s="18">
        <f>C17*F17</f>
        <v/>
      </c>
      <c r="H17" s="39" t="n">
        <v>5</v>
      </c>
      <c r="I17" s="11" t="inlineStr">
        <is>
          <t>2027-Q1</t>
        </is>
      </c>
    </row>
    <row r="18">
      <c r="A18" s="10" t="inlineStr"/>
      <c r="B18" s="10" t="inlineStr">
        <is>
          <t>OPP-011</t>
        </is>
      </c>
      <c r="C18" s="15" t="n">
        <v>320000</v>
      </c>
      <c r="D18" s="10" t="inlineStr">
        <is>
          <t>客户 K</t>
        </is>
      </c>
      <c r="E18" s="10" t="inlineStr">
        <is>
          <t>方案确认</t>
        </is>
      </c>
      <c r="F18" s="20" t="n">
        <v>0.35</v>
      </c>
      <c r="G18" s="16">
        <f>C18*F18</f>
        <v/>
      </c>
      <c r="H18" s="38" t="n">
        <v>19</v>
      </c>
      <c r="I18" s="10" t="inlineStr">
        <is>
          <t>2027-Q1</t>
        </is>
      </c>
    </row>
    <row r="19">
      <c r="A19" s="11" t="inlineStr"/>
      <c r="B19" s="11" t="inlineStr">
        <is>
          <t>OPP-012</t>
        </is>
      </c>
      <c r="C19" s="17" t="n">
        <v>260000</v>
      </c>
      <c r="D19" s="11" t="inlineStr">
        <is>
          <t>客户 L</t>
        </is>
      </c>
      <c r="E19" s="11" t="inlineStr">
        <is>
          <t>报价</t>
        </is>
      </c>
      <c r="F19" s="23" t="n">
        <v>0.5</v>
      </c>
      <c r="G19" s="18">
        <f>C19*F19</f>
        <v/>
      </c>
      <c r="H19" s="39" t="n">
        <v>38</v>
      </c>
      <c r="I19" s="11" t="inlineStr">
        <is>
          <t>2026-Q4</t>
        </is>
      </c>
    </row>
    <row r="20">
      <c r="A20" s="10" t="inlineStr"/>
      <c r="B20" s="10" t="inlineStr">
        <is>
          <t>OPP-013</t>
        </is>
      </c>
      <c r="C20" s="15" t="n">
        <v>210000</v>
      </c>
      <c r="D20" s="10" t="inlineStr">
        <is>
          <t>客户 M</t>
        </is>
      </c>
      <c r="E20" s="10" t="inlineStr">
        <is>
          <t>初步接触</t>
        </is>
      </c>
      <c r="F20" s="20" t="n">
        <v>0.15</v>
      </c>
      <c r="G20" s="16">
        <f>C20*F20</f>
        <v/>
      </c>
      <c r="H20" s="38" t="n">
        <v>3</v>
      </c>
      <c r="I20" s="10" t="inlineStr">
        <is>
          <t>2027-Q1</t>
        </is>
      </c>
    </row>
    <row r="21">
      <c r="A21" s="11" t="inlineStr"/>
      <c r="B21" s="11" t="inlineStr">
        <is>
          <t>OPP-014</t>
        </is>
      </c>
      <c r="C21" s="17" t="n">
        <v>180000</v>
      </c>
      <c r="D21" s="11" t="inlineStr">
        <is>
          <t>客户 N</t>
        </is>
      </c>
      <c r="E21" s="11" t="inlineStr">
        <is>
          <t>中标待签</t>
        </is>
      </c>
      <c r="F21" s="23" t="n">
        <v>0.95</v>
      </c>
      <c r="G21" s="18">
        <f>C21*F21</f>
        <v/>
      </c>
      <c r="H21" s="39" t="n">
        <v>4</v>
      </c>
      <c r="I21" s="11" t="inlineStr">
        <is>
          <t>2026-Q4</t>
        </is>
      </c>
    </row>
    <row r="22">
      <c r="A22" s="10" t="inlineStr"/>
      <c r="B22" s="10" t="inlineStr">
        <is>
          <t>OPP-015</t>
        </is>
      </c>
      <c r="C22" s="15" t="n">
        <v>120000</v>
      </c>
      <c r="D22" s="10" t="inlineStr">
        <is>
          <t>客户 O</t>
        </is>
      </c>
      <c r="E22" s="10" t="inlineStr">
        <is>
          <t>初步接触</t>
        </is>
      </c>
      <c r="F22" s="20" t="n">
        <v>0.15</v>
      </c>
      <c r="G22" s="16">
        <f>C22*F22</f>
        <v/>
      </c>
      <c r="H22" s="38" t="n">
        <v>2</v>
      </c>
      <c r="I22" s="10" t="inlineStr">
        <is>
          <t>2027-Q1</t>
        </is>
      </c>
    </row>
    <row r="25" ht="72" customHeight="1">
      <c r="A25" s="12" t="inlineStr">
        <is>
          <t>📌 使用提示：停留超过 40 天的商机已自动标红（OPP-001 停留 42 天、OPP-003 停留 55 天、OPP-008 停留 47 天）。把这条规则固化进周会，能在月中就识别出停滞商机，而不是等到月底复盘才知道输了。另注意 OPP-003 已停留 55 天却仍挂在 80% 概率——概率没有随停留天数下调，会系统性高估预测（本表概率加权预测 488 万，占商机总额 54%）。建议把“停留超 40 天自动降一档概率”写进规则。</t>
        </is>
      </c>
    </row>
  </sheetData>
  <mergeCells count="3">
    <mergeCell ref="A1:I1"/>
    <mergeCell ref="A25:I25"/>
    <mergeCell ref="A2:I2"/>
  </mergeCells>
  <conditionalFormatting sqref="H8:H22">
    <cfRule type="cellIs" priority="1" operator="greaterThan" dxfId="1">
      <formula>40</formula>
    </cfRule>
  </conditionalFormatting>
  <conditionalFormatting sqref="F8:F22">
    <cfRule type="cellIs" priority="2" operator="greaterThanOrEqual" dxfId="4">
      <formula>0.8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  <col width="14" customWidth="1" min="9" max="9"/>
    <col width="18" customWidth="1" min="10" max="10"/>
  </cols>
  <sheetData>
    <row r="1">
      <c r="A1" s="1" t="inlineStr">
        <is>
          <t>表⑤ 人效与回款表 —— 钱收得回来吗、人用得值吗</t>
        </is>
      </c>
    </row>
    <row r="2">
      <c r="A2" s="2" t="inlineStr">
        <is>
          <t>回款周期每缩短 15 天，等于白赚一笔无息贷款。人越招越多、人均产出却在降，是最容易被忽略的失血点。</t>
        </is>
      </c>
    </row>
    <row r="4" ht="24" customHeight="1">
      <c r="B4" s="4" t="inlineStr">
        <is>
          <t>团队总人数</t>
        </is>
      </c>
      <c r="C4" s="35">
        <f>SUM(C8:C12)</f>
        <v/>
      </c>
      <c r="D4" s="4" t="inlineStr">
        <is>
          <t>人均营收（元）</t>
        </is>
      </c>
      <c r="E4" s="13">
        <f>D13/C4</f>
        <v/>
      </c>
      <c r="F4" s="4" t="inlineStr">
        <is>
          <t>整体回款率</t>
        </is>
      </c>
      <c r="G4" s="28">
        <f>E13/D13</f>
        <v/>
      </c>
      <c r="H4" s="4" t="inlineStr">
        <is>
          <t>加权平均 DSO（天）</t>
        </is>
      </c>
      <c r="I4" s="35">
        <f>H13</f>
        <v/>
      </c>
      <c r="J4" s="29">
        <f>IF(I4&gt;60,"⚠️ 回款周期偏长","健康")</f>
        <v/>
      </c>
    </row>
    <row r="7" ht="26" customHeight="1">
      <c r="A7" s="9" t="inlineStr"/>
      <c r="B7" s="9" t="inlineStr">
        <is>
          <t>区域/团队</t>
        </is>
      </c>
      <c r="C7" s="9" t="inlineStr">
        <is>
          <t>人数</t>
        </is>
      </c>
      <c r="D7" s="9" t="inlineStr">
        <is>
          <t>营收（元）</t>
        </is>
      </c>
      <c r="E7" s="9" t="inlineStr">
        <is>
          <t>回款额（元）</t>
        </is>
      </c>
      <c r="F7" s="9" t="inlineStr">
        <is>
          <t>回款率</t>
        </is>
      </c>
      <c r="G7" s="9" t="inlineStr">
        <is>
          <t>人均营收</t>
        </is>
      </c>
      <c r="H7" s="9" t="inlineStr">
        <is>
          <t>DSO（天）</t>
        </is>
      </c>
      <c r="I7" s="9" t="inlineStr">
        <is>
          <t>逾期金额</t>
        </is>
      </c>
      <c r="J7" s="9" t="inlineStr">
        <is>
          <t>逾期占营收</t>
        </is>
      </c>
    </row>
    <row r="8">
      <c r="A8" s="10" t="inlineStr"/>
      <c r="B8" s="10" t="inlineStr">
        <is>
          <t>华东区</t>
        </is>
      </c>
      <c r="C8" s="38" t="n">
        <v>8</v>
      </c>
      <c r="D8" s="15" t="n">
        <v>4260000</v>
      </c>
      <c r="E8" s="15" t="n">
        <v>3820000</v>
      </c>
      <c r="F8" s="19">
        <f>E8/D8</f>
        <v/>
      </c>
      <c r="G8" s="16">
        <f>D8/C8</f>
        <v/>
      </c>
      <c r="H8" s="38" t="n">
        <v>58</v>
      </c>
      <c r="I8" s="15" t="n">
        <v>320000</v>
      </c>
      <c r="J8" s="19">
        <f>I8/D8</f>
        <v/>
      </c>
    </row>
    <row r="9">
      <c r="A9" s="11" t="inlineStr"/>
      <c r="B9" s="11" t="inlineStr">
        <is>
          <t>华南区</t>
        </is>
      </c>
      <c r="C9" s="39" t="n">
        <v>6</v>
      </c>
      <c r="D9" s="17" t="n">
        <v>3150000</v>
      </c>
      <c r="E9" s="17" t="n">
        <v>2640000</v>
      </c>
      <c r="F9" s="22">
        <f>E9/D9</f>
        <v/>
      </c>
      <c r="G9" s="18">
        <f>D9/C9</f>
        <v/>
      </c>
      <c r="H9" s="39" t="n">
        <v>72</v>
      </c>
      <c r="I9" s="17" t="n">
        <v>410000</v>
      </c>
      <c r="J9" s="22">
        <f>I9/D9</f>
        <v/>
      </c>
    </row>
    <row r="10">
      <c r="A10" s="10" t="inlineStr"/>
      <c r="B10" s="10" t="inlineStr">
        <is>
          <t>华北区</t>
        </is>
      </c>
      <c r="C10" s="38" t="n">
        <v>5</v>
      </c>
      <c r="D10" s="15" t="n">
        <v>2380000</v>
      </c>
      <c r="E10" s="15" t="n">
        <v>2180000</v>
      </c>
      <c r="F10" s="19">
        <f>E10/D10</f>
        <v/>
      </c>
      <c r="G10" s="16">
        <f>D10/C10</f>
        <v/>
      </c>
      <c r="H10" s="38" t="n">
        <v>46</v>
      </c>
      <c r="I10" s="15" t="n">
        <v>145000</v>
      </c>
      <c r="J10" s="19">
        <f>I10/D10</f>
        <v/>
      </c>
    </row>
    <row r="11">
      <c r="A11" s="11" t="inlineStr"/>
      <c r="B11" s="11" t="inlineStr">
        <is>
          <t>西南区</t>
        </is>
      </c>
      <c r="C11" s="39" t="n">
        <v>4</v>
      </c>
      <c r="D11" s="17" t="n">
        <v>1420000</v>
      </c>
      <c r="E11" s="17" t="n">
        <v>1180000</v>
      </c>
      <c r="F11" s="22">
        <f>E11/D11</f>
        <v/>
      </c>
      <c r="G11" s="18">
        <f>D11/C11</f>
        <v/>
      </c>
      <c r="H11" s="39" t="n">
        <v>83</v>
      </c>
      <c r="I11" s="17" t="n">
        <v>268000</v>
      </c>
      <c r="J11" s="22">
        <f>I11/D11</f>
        <v/>
      </c>
    </row>
    <row r="12">
      <c r="A12" s="10" t="inlineStr"/>
      <c r="B12" s="10" t="inlineStr">
        <is>
          <t>西北区</t>
        </is>
      </c>
      <c r="C12" s="38" t="n">
        <v>3</v>
      </c>
      <c r="D12" s="15" t="n">
        <v>860000</v>
      </c>
      <c r="E12" s="15" t="n">
        <v>690000</v>
      </c>
      <c r="F12" s="19">
        <f>E12/D12</f>
        <v/>
      </c>
      <c r="G12" s="16">
        <f>D12/C12</f>
        <v/>
      </c>
      <c r="H12" s="38" t="n">
        <v>95</v>
      </c>
      <c r="I12" s="15" t="n">
        <v>150000</v>
      </c>
      <c r="J12" s="19">
        <f>I12/D12</f>
        <v/>
      </c>
    </row>
    <row r="13">
      <c r="A13" s="25" t="inlineStr"/>
      <c r="B13" s="25" t="inlineStr">
        <is>
          <t>合计</t>
        </is>
      </c>
      <c r="C13" s="40">
        <f>SUM(C8:C12)</f>
        <v/>
      </c>
      <c r="D13" s="26">
        <f>SUM(D8:D12)</f>
        <v/>
      </c>
      <c r="E13" s="26">
        <f>SUM(E8:E12)</f>
        <v/>
      </c>
      <c r="F13" s="37">
        <f>E13/D13</f>
        <v/>
      </c>
      <c r="G13" s="26">
        <f>D13/C13</f>
        <v/>
      </c>
      <c r="H13" s="40">
        <f>ROUND(SUMPRODUCT(D8:D12,H8:H12)/SUM(D8:D12),0)</f>
        <v/>
      </c>
      <c r="I13" s="26">
        <f>SUM(I8:I12)</f>
        <v/>
      </c>
      <c r="J13" s="37">
        <f>I13/D13</f>
        <v/>
      </c>
    </row>
    <row r="15" ht="108" customHeight="1">
      <c r="A15" s="12" t="inlineStr">
        <is>
          <t>📌 读表要点：西北区 DSO 95 天最长、回款率 80.2% 最低，但逾期占营收 17.4% 并非最高——它的特征是“回款慢”而不是“收不回”，通常指向账期政策或大客户占比；西南区 DSO 83 天、逾期占营收 18.9% 最高，特征才是“回款质量差”，指向客户信用风险。两者整改动作不同：前者调账期与结算条款，后者改客户准入与催收节奏。另注意西北区人均营收 28.7 万，仅为华东（53.3 万）的 54%，人效差距需单独归因，不能默认等同于回款问题。若把西北 DSO 从 95 天压到 60 天，按本区营收测算约释放 8.2 万资金占用。口径提醒：整体 DSO 按营收加权为 65 天，若用简单平均会得到 71 天——小区域与大盘被同等对待会放大偏差，这个口径要写死在《指标口径定义表》里。本表逾期合计 129.3 万（账期 60 天口径），与表①账龄中 61 天以上的 129.3 万完全对应，两张表可交叉核对。</t>
        </is>
      </c>
    </row>
  </sheetData>
  <mergeCells count="3">
    <mergeCell ref="A1:J1"/>
    <mergeCell ref="A15:J15"/>
    <mergeCell ref="A2:J2"/>
  </mergeCells>
  <conditionalFormatting sqref="H8:H12">
    <cfRule type="cellIs" priority="1" operator="greaterThan" dxfId="1">
      <formula>75</formula>
    </cfRule>
  </conditionalFormatting>
  <conditionalFormatting sqref="F8:F12">
    <cfRule type="cellIs" priority="2" operator="lessThan" dxfId="5">
      <formula>0.85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4" customWidth="1" min="4" max="4"/>
    <col width="18" customWidth="1" min="5" max="5"/>
    <col width="14" customWidth="1" min="6" max="6"/>
  </cols>
  <sheetData>
    <row r="1">
      <c r="A1" s="1" t="inlineStr">
        <is>
          <t>《30 天落地行动卡》</t>
        </is>
      </c>
    </row>
    <row r="2">
      <c r="A2" s="2" t="inlineStr">
        <is>
          <t>今天回去不用做五张表，先做第一张现金表。做出来你就会发现，第二张第三张自己就长出来了。</t>
        </is>
      </c>
    </row>
    <row r="4" ht="26" customHeight="1">
      <c r="A4" s="9" t="inlineStr"/>
      <c r="B4" s="9" t="inlineStr">
        <is>
          <t>周次</t>
        </is>
      </c>
      <c r="C4" s="9" t="inlineStr">
        <is>
          <t>本周要做的三件事</t>
        </is>
      </c>
      <c r="D4" s="9" t="inlineStr">
        <is>
          <t>交付物（能拿出来看的）</t>
        </is>
      </c>
      <c r="E4" s="9" t="inlineStr">
        <is>
          <t>自检（打勾）</t>
        </is>
      </c>
      <c r="F4" s="9" t="inlineStr">
        <is>
          <t>负责人</t>
        </is>
      </c>
    </row>
    <row r="5" ht="24" customHeight="1">
      <c r="A5" s="10" t="inlineStr"/>
      <c r="B5" s="10" t="inlineStr">
        <is>
          <t>第 1 周</t>
        </is>
      </c>
      <c r="C5" s="10" t="inlineStr">
        <is>
          <t>把 5 个核心指标的口径写死（销售额/回款/毛利/商机/活跃客户）</t>
        </is>
      </c>
      <c r="D5" s="10" t="inlineStr">
        <is>
          <t>《指标口径定义表》1 页，已签字已群发</t>
        </is>
      </c>
      <c r="E5" s="10" t="inlineStr">
        <is>
          <t>☐ 已完成</t>
        </is>
      </c>
      <c r="F5" s="10" t="inlineStr"/>
    </row>
    <row r="6" ht="24" customHeight="1">
      <c r="A6" s="10" t="inlineStr"/>
      <c r="B6" s="10" t="inlineStr"/>
      <c r="C6" s="10" t="inlineStr">
        <is>
          <t>全公司发一次，让财务、销售、运营三方签字确认</t>
        </is>
      </c>
      <c r="D6" s="10" t="inlineStr"/>
      <c r="E6" s="10" t="inlineStr"/>
      <c r="F6" s="10" t="inlineStr"/>
    </row>
    <row r="7" ht="24" customHeight="1">
      <c r="A7" s="10" t="inlineStr"/>
      <c r="B7" s="10" t="inlineStr"/>
      <c r="C7" s="10" t="inlineStr">
        <is>
          <t>指定"唯一数字权威"——谁的数说了算</t>
        </is>
      </c>
      <c r="D7" s="10" t="inlineStr"/>
      <c r="E7" s="10" t="inlineStr"/>
      <c r="F7" s="10" t="inlineStr"/>
    </row>
    <row r="8" ht="24" customHeight="1">
      <c r="A8" s="10" t="inlineStr"/>
      <c r="B8" s="10" t="inlineStr">
        <is>
          <t>第 2 周</t>
        </is>
      </c>
      <c r="C8" s="10" t="inlineStr">
        <is>
          <t>拉出现金余额 + 近 3 月平均净流出 → 算出可支撑月数</t>
        </is>
      </c>
      <c r="D8" s="10" t="inlineStr">
        <is>
          <t>表①现金表 + 表②收入结构表（各 1 页）</t>
        </is>
      </c>
      <c r="E8" s="10" t="inlineStr">
        <is>
          <t>☐ 已完成</t>
        </is>
      </c>
      <c r="F8" s="10" t="inlineStr"/>
    </row>
    <row r="9" ht="24" customHeight="1">
      <c r="A9" s="10" t="inlineStr"/>
      <c r="B9" s="10" t="inlineStr"/>
      <c r="C9" s="10" t="inlineStr">
        <is>
          <t>把应收账款按账龄分段，算出真实可收回金额</t>
        </is>
      </c>
      <c r="D9" s="10" t="inlineStr"/>
      <c r="E9" s="10" t="inlineStr"/>
      <c r="F9" s="10" t="inlineStr"/>
    </row>
    <row r="10" ht="24" customHeight="1">
      <c r="A10" s="10" t="inlineStr"/>
      <c r="B10" s="10" t="inlineStr"/>
      <c r="C10" s="10" t="inlineStr">
        <is>
          <t>把客户按收入从大到小排，算出前 20% 贡献占比</t>
        </is>
      </c>
      <c r="D10" s="10" t="inlineStr"/>
      <c r="E10" s="10" t="inlineStr"/>
      <c r="F10" s="10" t="inlineStr"/>
    </row>
    <row r="11" ht="24" customHeight="1">
      <c r="A11" s="10" t="inlineStr"/>
      <c r="B11" s="10" t="inlineStr">
        <is>
          <t>第 3 周</t>
        </is>
      </c>
      <c r="C11" s="10" t="inlineStr">
        <is>
          <t>给每个在途商机打中标概率分（初步接触 15% / 方案 35% / 报价 50% / 谈判 80% / 待签 95%）</t>
        </is>
      </c>
      <c r="D11" s="10" t="inlineStr">
        <is>
          <t>表④漏斗预测表 + 高风险商机清单</t>
        </is>
      </c>
      <c r="E11" s="10" t="inlineStr">
        <is>
          <t>☐ 已完成</t>
        </is>
      </c>
      <c r="F11" s="10" t="inlineStr"/>
    </row>
    <row r="12" ht="24" customHeight="1">
      <c r="A12" s="10" t="inlineStr"/>
      <c r="B12" s="10" t="inlineStr"/>
      <c r="C12" s="10" t="inlineStr">
        <is>
          <t>算出概率加权预测，得出下季度预计签约额</t>
        </is>
      </c>
      <c r="D12" s="10" t="inlineStr"/>
      <c r="E12" s="10" t="inlineStr"/>
      <c r="F12" s="10" t="inlineStr"/>
    </row>
    <row r="13" ht="24" customHeight="1">
      <c r="A13" s="10" t="inlineStr"/>
      <c r="B13" s="10" t="inlineStr"/>
      <c r="C13" s="10" t="inlineStr">
        <is>
          <t>拉出停留超 40 天的商机，逐个过一遍</t>
        </is>
      </c>
      <c r="D13" s="10" t="inlineStr"/>
      <c r="E13" s="10" t="inlineStr"/>
      <c r="F13" s="10" t="inlineStr"/>
    </row>
    <row r="14" ht="24" customHeight="1">
      <c r="A14" s="10" t="inlineStr"/>
      <c r="B14" s="10" t="inlineStr">
        <is>
          <t>第 4 周</t>
        </is>
      </c>
      <c r="C14" s="10" t="inlineStr">
        <is>
          <t>选一个 AI 场景落地试跑（推荐：口语问数 或 制度知识库）</t>
        </is>
      </c>
      <c r="D14" s="10" t="inlineStr">
        <is>
          <t>一个能跑通的 AI 场景 Demo（截图即可）</t>
        </is>
      </c>
      <c r="E14" s="10" t="inlineStr">
        <is>
          <t>☐ 已完成</t>
        </is>
      </c>
      <c r="F14" s="10" t="inlineStr"/>
    </row>
    <row r="15" ht="24" customHeight="1">
      <c r="A15" s="10" t="inlineStr"/>
      <c r="B15" s="10" t="inlineStr"/>
      <c r="C15" s="10" t="inlineStr">
        <is>
          <t>接一张自己的 Excel 表，试问三个问题</t>
        </is>
      </c>
      <c r="D15" s="10" t="inlineStr"/>
      <c r="E15" s="10" t="inlineStr"/>
      <c r="F15" s="10" t="inlineStr"/>
    </row>
    <row r="16" ht="24" customHeight="1">
      <c r="A16" s="10" t="inlineStr"/>
      <c r="B16" s="10" t="inlineStr"/>
      <c r="C16" s="10" t="inlineStr">
        <is>
          <t>把结果发到公司群里，让老板看到</t>
        </is>
      </c>
      <c r="D16" s="10" t="inlineStr"/>
      <c r="E16" s="10" t="inlineStr"/>
      <c r="F16" s="10" t="inlineStr"/>
    </row>
    <row r="18">
      <c r="B18" s="6" t="inlineStr">
        <is>
          <t>🔴 三条纪律</t>
        </is>
      </c>
    </row>
    <row r="19" ht="22" customHeight="1">
      <c r="B19" s="7" t="inlineStr">
        <is>
          <t>1. 口径没统一之前，不要上 AI —— 否则你只会更快地得到三个不一样的答案。</t>
        </is>
      </c>
    </row>
    <row r="20" ht="22" customHeight="1">
      <c r="B20" s="7" t="inlineStr">
        <is>
          <t>2. 每周只做一张表，做完再往下走。五张表同时开工，通常一张都做不完。</t>
        </is>
      </c>
    </row>
    <row r="21" ht="22" customHeight="1">
      <c r="B21" s="7" t="inlineStr">
        <is>
          <t>3. 任何 AI 出的数，都要能追溯到原始表。追不回去的数，不要拿去做决策。</t>
        </is>
      </c>
    </row>
    <row r="23">
      <c r="B23" s="8" t="inlineStr">
        <is>
          <t>卡住了随时找：王宏杰 ｜ 19 年 B 端政企业务实战 · 英国利兹 MBA 商业体系 · 数据分析与大模型开发系统训练</t>
        </is>
      </c>
    </row>
  </sheetData>
  <mergeCells count="6">
    <mergeCell ref="B21:F21"/>
    <mergeCell ref="A2:F2"/>
    <mergeCell ref="B20:F20"/>
    <mergeCell ref="A1:F1"/>
    <mergeCell ref="B19:F19"/>
    <mergeCell ref="B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2026-09-11T02:30:15Z</dcterms:created>
  <dcterms:modified xmlns:dcterms="http://purl.org/dc/terms/" xmlns:xsi="http://www.w3.org/2001/XMLSchema-instance" xsi:type="dcterms:W3CDTF">2026-09-11T02:30:15Z</dcterms:modified>
</cp:coreProperties>
</file>